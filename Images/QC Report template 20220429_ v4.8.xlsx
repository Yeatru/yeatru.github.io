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资料\~JUVO格式&amp;文件\验货报告模板\"/>
    </mc:Choice>
  </mc:AlternateContent>
  <bookViews>
    <workbookView windowWidth="18870" windowHeight="10987"/>
  </bookViews>
  <sheets>
    <sheet name="Report" sheetId="1" r:id="rId1"/>
    <sheet name="Option" sheetId="2" r:id="rId2"/>
    <sheet name="Defect-En" sheetId="3" r:id="rId3"/>
  </sheets>
  <definedNames>
    <definedName name="_xlnm._FilterDatabase" localSheetId="0" hidden="1">Report!$B$1:$N$12</definedName>
    <definedName name="_Hlk470452949" localSheetId="0">Report!#REF!</definedName>
    <definedName name="_Hlk470701027" localSheetId="0">Report!$B$17</definedName>
    <definedName name="_Hlk470701162" localSheetId="0">Report!$B$39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<sst xmlns="http://schemas.openxmlformats.org/spreadsheetml/2006/main" count="269" uniqueCount="203">
  <si>
    <r>
      <rPr>
        <sz val="28"/>
        <rFont val="Impact"/>
        <charset val="134"/>
      </rPr>
      <t xml:space="preserve">Quality Inspection &amp; Test Report </t>
    </r>
    <r>
      <rPr>
        <sz val="10"/>
        <rFont val="Calibri"/>
        <charset val="134"/>
      </rPr>
      <t>V4.8</t>
    </r>
  </si>
  <si>
    <t>Yeatru Sourcing</t>
  </si>
  <si>
    <t>Standard:</t>
  </si>
  <si>
    <t>ANSI/ASQC Z1.4-2003</t>
  </si>
  <si>
    <t xml:space="preserve">Level : </t>
  </si>
  <si>
    <t>AQL Level II</t>
  </si>
  <si>
    <t>Inspection Type:</t>
  </si>
  <si>
    <t>Factory QC</t>
  </si>
  <si>
    <t>Inspected By:</t>
  </si>
  <si>
    <t>Factory Name:</t>
  </si>
  <si>
    <t>Vendor Type:</t>
  </si>
  <si>
    <t>Factory</t>
  </si>
  <si>
    <t xml:space="preserve">Factory Location: </t>
  </si>
  <si>
    <t>Date:</t>
  </si>
  <si>
    <t>P.O. #:</t>
  </si>
  <si>
    <t>Product Description</t>
  </si>
  <si>
    <t>P.O. Quantity:</t>
  </si>
  <si>
    <t>P.O. Cartons:</t>
  </si>
  <si>
    <t xml:space="preserve">Completed% </t>
  </si>
  <si>
    <t>Customer Name:</t>
  </si>
  <si>
    <t>Spelling Check:</t>
  </si>
  <si>
    <t>N/A</t>
  </si>
  <si>
    <t>Drop/Impact Testing</t>
  </si>
  <si>
    <t>Untested</t>
  </si>
  <si>
    <t>Overall Inspection Result:</t>
  </si>
  <si>
    <t>Passed</t>
  </si>
  <si>
    <t>SKU# Measurement</t>
  </si>
  <si>
    <t>Product</t>
  </si>
  <si>
    <t>Package</t>
  </si>
  <si>
    <t>Weight/pcs
(lbs)</t>
  </si>
  <si>
    <t>Pack size</t>
  </si>
  <si>
    <t>Length</t>
  </si>
  <si>
    <t>Width</t>
  </si>
  <si>
    <t>Height</t>
  </si>
  <si>
    <t>(inch)</t>
  </si>
  <si>
    <t>865865856</t>
  </si>
  <si>
    <t>Carton Measurement</t>
  </si>
  <si>
    <t>Length
(cm)</t>
  </si>
  <si>
    <t>Width
(cm)</t>
  </si>
  <si>
    <t>Height
(cm)</t>
  </si>
  <si>
    <t>Pcs/ctns</t>
  </si>
  <si>
    <t>CTNS</t>
  </si>
  <si>
    <t>G.W/CTNS</t>
  </si>
  <si>
    <t>TOTAL CBM</t>
  </si>
  <si>
    <t>TOTAL 
GW</t>
  </si>
  <si>
    <t>TOTAL</t>
  </si>
  <si>
    <t>Inspection Details</t>
  </si>
  <si>
    <t>SKU 1 - 5</t>
  </si>
  <si>
    <t>Quantity of SKU</t>
  </si>
  <si>
    <t>QC sample size</t>
  </si>
  <si>
    <t>Max. Allowed (AQL 0)</t>
  </si>
  <si>
    <t>Max. Allowed (AQL 1.5)</t>
  </si>
  <si>
    <t>Max. Allowed (AQL 4.0)</t>
  </si>
  <si>
    <r>
      <rPr>
        <b/>
        <sz val="12"/>
        <rFont val="宋体"/>
        <charset val="134"/>
      </rPr>
      <t>缺陷描述</t>
    </r>
    <r>
      <rPr>
        <b/>
        <sz val="12"/>
        <rFont val="Times New Roman"/>
        <charset val="134"/>
      </rPr>
      <t>Defects Description:</t>
    </r>
  </si>
  <si>
    <t>dirty</t>
  </si>
  <si>
    <t>gluemark</t>
  </si>
  <si>
    <t>Result By Skus</t>
  </si>
  <si>
    <t>Critical</t>
  </si>
  <si>
    <t>Major</t>
  </si>
  <si>
    <t>Minor</t>
  </si>
  <si>
    <t>SKU Inspection Result</t>
  </si>
  <si>
    <t>Issue types</t>
  </si>
  <si>
    <t>Issue type(Fill it when Sku result is fail/pending )</t>
  </si>
  <si>
    <t>Listing</t>
  </si>
  <si>
    <t xml:space="preserve">REMARK: </t>
  </si>
  <si>
    <t>Any mentions or advices to factory by Sku.</t>
  </si>
  <si>
    <t>SKU 6 - 10</t>
  </si>
  <si>
    <t>SKU 11 - 15</t>
  </si>
  <si>
    <t>SKU 16 - 20</t>
  </si>
  <si>
    <t>缺陷描述Defects Description:</t>
  </si>
  <si>
    <t xml:space="preserve">C. REMARK: </t>
  </si>
  <si>
    <t>Inspector’s signature:</t>
  </si>
  <si>
    <t>Manufactory’s Signature:</t>
  </si>
  <si>
    <t xml:space="preserve"> Inspection Date:</t>
  </si>
  <si>
    <t>AQL Level</t>
  </si>
  <si>
    <t>AQL sampling</t>
  </si>
  <si>
    <t>Size</t>
  </si>
  <si>
    <t>Sample</t>
  </si>
  <si>
    <t>3-9</t>
  </si>
  <si>
    <t>2-8</t>
  </si>
  <si>
    <t>10-16</t>
  </si>
  <si>
    <t>9-15</t>
  </si>
  <si>
    <t>17-26</t>
  </si>
  <si>
    <t>16-25</t>
  </si>
  <si>
    <t>27-51</t>
  </si>
  <si>
    <t>26-50</t>
  </si>
  <si>
    <t>52-91</t>
  </si>
  <si>
    <t>51-90</t>
  </si>
  <si>
    <t>92-151</t>
  </si>
  <si>
    <t>91-150</t>
  </si>
  <si>
    <t>152-281</t>
  </si>
  <si>
    <t>151-280</t>
  </si>
  <si>
    <t>282-501</t>
  </si>
  <si>
    <t>281-500</t>
  </si>
  <si>
    <t>502-1200</t>
  </si>
  <si>
    <t>501-1200</t>
  </si>
  <si>
    <t>1202-3201</t>
  </si>
  <si>
    <t>1201-3200</t>
  </si>
  <si>
    <t>3202-10001</t>
  </si>
  <si>
    <t>3201-10000</t>
  </si>
  <si>
    <t>10002-35001</t>
  </si>
  <si>
    <t>10001-35000</t>
  </si>
  <si>
    <t>35002-150001</t>
  </si>
  <si>
    <t>35001-150000</t>
  </si>
  <si>
    <t>Defects Description</t>
  </si>
  <si>
    <r>
      <rPr>
        <sz val="11"/>
        <color theme="1"/>
        <rFont val="Times New Roman"/>
        <charset val="134"/>
      </rPr>
      <t xml:space="preserve">OPP </t>
    </r>
    <r>
      <rPr>
        <sz val="11"/>
        <color theme="1"/>
        <rFont val="宋体"/>
        <charset val="134"/>
      </rPr>
      <t>袋装</t>
    </r>
  </si>
  <si>
    <t>袋子有破损</t>
  </si>
  <si>
    <t>Poly bag broken</t>
  </si>
  <si>
    <t>袋子没有封好</t>
  </si>
  <si>
    <t>Poly bag unsealed</t>
  </si>
  <si>
    <t>袋量不一样</t>
  </si>
  <si>
    <t>Pack size differences</t>
  </si>
  <si>
    <t>无OPP袋</t>
  </si>
  <si>
    <t>Poly bag lacking</t>
  </si>
  <si>
    <t>塑料袋开口超5英寸无相应警示标</t>
  </si>
  <si>
    <t xml:space="preserve">Poly bag opening side wider than 5" without suffocation warning </t>
  </si>
  <si>
    <t>塑料袋尺寸不合适（过小）</t>
  </si>
  <si>
    <t>Poly bag too small</t>
  </si>
  <si>
    <t>塑料袋尺寸超过产品尺寸以外3'英寸</t>
  </si>
  <si>
    <t>Poly bag not protrude more than 3" past dimensions of the product</t>
  </si>
  <si>
    <t>内置OPP袋无孔</t>
  </si>
  <si>
    <t>No air hole on inner poly bag</t>
  </si>
  <si>
    <t>内置OPP袋有条码</t>
  </si>
  <si>
    <t>Barcode label sticked on inner poly bag</t>
  </si>
  <si>
    <t>PE袋相应类别产品   （液体,粉末,服装,玩具,纸产品）</t>
  </si>
  <si>
    <t>Liquid, powder, apparel, toys &amp; paper product not packed in PE bag</t>
  </si>
  <si>
    <r>
      <rPr>
        <sz val="11"/>
        <color theme="1"/>
        <rFont val="Times New Roman"/>
        <charset val="134"/>
      </rPr>
      <t>Packaging</t>
    </r>
    <r>
      <rPr>
        <sz val="11"/>
        <color theme="1"/>
        <rFont val="宋体"/>
        <charset val="134"/>
      </rPr>
      <t>盒装</t>
    </r>
  </si>
  <si>
    <t>产品有商家Logo</t>
  </si>
  <si>
    <t>Vendor's logo printed on package box</t>
  </si>
  <si>
    <t>盒子没封好</t>
  </si>
  <si>
    <t>Package box unsealed</t>
  </si>
  <si>
    <t>有短数</t>
  </si>
  <si>
    <t>包装易损</t>
  </si>
  <si>
    <t>Package box not sturdy</t>
  </si>
  <si>
    <t>无包装</t>
  </si>
  <si>
    <t>Package box lacking</t>
  </si>
  <si>
    <t>吸塑包装需要厂检</t>
  </si>
  <si>
    <t>Blister package inspected in factory</t>
  </si>
  <si>
    <t>混装</t>
  </si>
  <si>
    <t>Products assorted</t>
  </si>
  <si>
    <t>换彩盒</t>
  </si>
  <si>
    <t>Package box re-work</t>
  </si>
  <si>
    <t>吸塑包装破开</t>
  </si>
  <si>
    <t>Blister shell broken</t>
  </si>
  <si>
    <t>不过防摔测试</t>
  </si>
  <si>
    <t>Drop test failed</t>
  </si>
  <si>
    <t>汽泡膜包装尖角部分</t>
  </si>
  <si>
    <t>Sharp point wrapped with bubble film</t>
  </si>
  <si>
    <t>尖锐产品必须盒装</t>
  </si>
  <si>
    <t>Sharp product packed in cardboard box</t>
  </si>
  <si>
    <t>盒子无钉</t>
  </si>
  <si>
    <t>Glued box</t>
  </si>
  <si>
    <t>Barcode</t>
  </si>
  <si>
    <t>袋子无条码</t>
  </si>
  <si>
    <t>Package bag without barcode label</t>
  </si>
  <si>
    <t>袋子多个条码</t>
  </si>
  <si>
    <t>Package with multiple barcode labels</t>
  </si>
  <si>
    <t>条码破损</t>
  </si>
  <si>
    <t>Barcode label torn</t>
  </si>
  <si>
    <t>有工厂条码</t>
  </si>
  <si>
    <t>Factory barcode existed</t>
  </si>
  <si>
    <t>条码错误</t>
  </si>
  <si>
    <t>Barcode incorrect</t>
  </si>
  <si>
    <t>混条码</t>
  </si>
  <si>
    <t>Barcode mixed</t>
  </si>
  <si>
    <t>Product quality</t>
  </si>
  <si>
    <t>功能问题</t>
  </si>
  <si>
    <t>Functional issue</t>
  </si>
  <si>
    <t>Quantity short</t>
  </si>
  <si>
    <r>
      <rPr>
        <sz val="11"/>
        <color theme="1"/>
        <rFont val="宋体"/>
        <charset val="134"/>
      </rPr>
      <t>Listing</t>
    </r>
    <r>
      <rPr>
        <sz val="11"/>
        <color rgb="FF000000"/>
        <rFont val="宋体"/>
        <charset val="134"/>
      </rPr>
      <t>不符</t>
    </r>
  </si>
  <si>
    <t>Listing unmatched</t>
  </si>
  <si>
    <t>产品有脏/污渍 /汽泡</t>
  </si>
  <si>
    <t>Dirt, stain or bubble</t>
  </si>
  <si>
    <t>缺少配件</t>
  </si>
  <si>
    <t>Accessories lacking</t>
  </si>
  <si>
    <t>图片和产品有色差</t>
  </si>
  <si>
    <t>Product color differences with image</t>
  </si>
  <si>
    <t>有修补痕迹</t>
  </si>
  <si>
    <t>Noticeable mark of repair</t>
  </si>
  <si>
    <t>产品有刺，开裂，掉漆，</t>
  </si>
  <si>
    <t>Burr, crack or paint-shedding</t>
  </si>
  <si>
    <t>产品露钉子</t>
  </si>
  <si>
    <t>Nail exposed</t>
  </si>
  <si>
    <t>Moisture</t>
  </si>
  <si>
    <t>湿度不达标</t>
  </si>
  <si>
    <t>Humidity substandard</t>
  </si>
  <si>
    <t>发霉，生锈</t>
  </si>
  <si>
    <t>Mold or rust</t>
  </si>
  <si>
    <t>盒内未放干燥剂（2-4包）</t>
  </si>
  <si>
    <t>No desiccant (2-4 packets required)</t>
  </si>
  <si>
    <t>袋内有水汽</t>
  </si>
  <si>
    <t>Moisture inside the bag</t>
  </si>
  <si>
    <t>Carton</t>
  </si>
  <si>
    <t>去中包</t>
  </si>
  <si>
    <t>Remove inner box</t>
  </si>
  <si>
    <t>外箱超长需要更改</t>
  </si>
  <si>
    <t>Master carton oversized, to re-work</t>
  </si>
  <si>
    <t>外箱太破</t>
  </si>
  <si>
    <t>Master carton not sturdy</t>
  </si>
  <si>
    <t>外箱无侧唛</t>
  </si>
  <si>
    <t>No side mark on master carton</t>
  </si>
  <si>
    <t>外箱侧唛错误</t>
  </si>
  <si>
    <t>Side mark incorrect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</si>
</sst>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.00_ "/>
  </numFmts>
  <fonts count="5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24"/>
      <color theme="1"/>
      <name val="Times New Roman"/>
      <charset val="134"/>
    </font>
    <font>
      <sz val="24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name val="等线"/>
      <charset val="134"/>
      <scheme val="minor"/>
    </font>
    <font>
      <b/>
      <sz val="18"/>
      <name val="Calibri"/>
      <charset val="134"/>
    </font>
    <font>
      <sz val="11"/>
      <name val="Calibri"/>
      <charset val="134"/>
    </font>
    <font>
      <sz val="10.5"/>
      <name val="Calibri"/>
      <charset val="134"/>
    </font>
    <font>
      <sz val="10.5"/>
      <name val="宋体"/>
      <charset val="134"/>
    </font>
    <font>
      <sz val="13"/>
      <name val="Times New Roman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28"/>
      <name val="Impact"/>
      <charset val="134"/>
    </font>
    <font>
      <b/>
      <sz val="16"/>
      <name val="Times New Roman"/>
      <charset val="134"/>
    </font>
    <font>
      <b/>
      <sz val="13"/>
      <name val="Times New Roman"/>
      <charset val="134"/>
    </font>
    <font>
      <sz val="22"/>
      <name val="Impact"/>
      <charset val="134"/>
    </font>
    <font>
      <sz val="14"/>
      <name val="Arial"/>
      <charset val="134"/>
    </font>
    <font>
      <b/>
      <sz val="12"/>
      <name val="Times New Roman"/>
      <charset val="134"/>
    </font>
    <font>
      <sz val="14"/>
      <name val="Times New Roman"/>
      <charset val="134"/>
    </font>
    <font>
      <sz val="12"/>
      <color theme="1"/>
      <name val="Times New Roman"/>
      <charset val="134"/>
    </font>
    <font>
      <b/>
      <sz val="14"/>
      <name val="Times New Roman"/>
      <charset val="134"/>
    </font>
    <font>
      <sz val="9"/>
      <name val="Times New Roman"/>
      <charset val="134"/>
    </font>
    <font>
      <b/>
      <sz val="12"/>
      <name val="宋体"/>
      <charset val="134"/>
    </font>
    <font>
      <b/>
      <sz val="10"/>
      <name val="Times New Roman"/>
      <charset val="134"/>
    </font>
    <font>
      <sz val="11"/>
      <color rgb="FF0000FF"/>
      <name val="宋体"/>
      <charset val="134"/>
    </font>
    <font>
      <sz val="11"/>
      <color rgb="FF0000FF"/>
      <name val="Times New Roman"/>
      <charset val="134"/>
    </font>
    <font>
      <b/>
      <u/>
      <sz val="12"/>
      <color rgb="FF0000FF"/>
      <name val="Times New Roman"/>
      <charset val="134"/>
    </font>
    <font>
      <i/>
      <sz val="12"/>
      <name val="Times New Roman"/>
      <charset val="134"/>
    </font>
    <font>
      <sz val="12"/>
      <color rgb="FF0000FF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" borderId="48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1" fillId="0" borderId="49" applyNumberFormat="0" applyFill="0" applyAlignment="0" applyProtection="0">
      <alignment vertical="center"/>
    </xf>
    <xf numFmtId="0" fontId="42" fillId="0" borderId="5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" borderId="51" applyNumberFormat="0" applyAlignment="0" applyProtection="0">
      <alignment vertical="center"/>
    </xf>
    <xf numFmtId="0" fontId="44" fillId="4" borderId="52" applyNumberFormat="0" applyAlignment="0" applyProtection="0">
      <alignment vertical="center"/>
    </xf>
    <xf numFmtId="0" fontId="45" fillId="4" borderId="51" applyNumberFormat="0" applyAlignment="0" applyProtection="0">
      <alignment vertical="center"/>
    </xf>
    <xf numFmtId="0" fontId="46" fillId="5" borderId="53" applyNumberFormat="0" applyAlignment="0" applyProtection="0">
      <alignment vertical="center"/>
    </xf>
    <xf numFmtId="0" fontId="47" fillId="0" borderId="54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14" fillId="0" borderId="0" xfId="0" applyFont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5" fillId="0" borderId="0" xfId="0" applyFont="1">
      <alignment vertical="center"/>
    </xf>
    <xf numFmtId="0" fontId="16" fillId="0" borderId="0" xfId="0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7" fillId="0" borderId="10" xfId="0" applyFont="1" applyBorder="1">
      <alignment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7" fillId="0" borderId="14" xfId="0" applyFont="1" applyBorder="1">
      <alignment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4" fillId="0" borderId="14" xfId="0" applyFont="1" applyBorder="1" applyProtection="1">
      <alignment vertical="center"/>
      <protection locked="0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right" vertical="center" wrapText="1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>
      <alignment horizontal="right" vertical="center" wrapText="1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0" xfId="0" applyFont="1">
      <alignment vertical="center"/>
    </xf>
    <xf numFmtId="176" fontId="14" fillId="0" borderId="5" xfId="0" applyNumberFormat="1" applyFont="1" applyBorder="1" applyAlignment="1" applyProtection="1">
      <alignment horizontal="center" vertical="center" wrapText="1"/>
      <protection locked="0"/>
    </xf>
    <xf numFmtId="176" fontId="14" fillId="0" borderId="6" xfId="0" applyNumberFormat="1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Protection="1">
      <alignment vertical="center"/>
      <protection locked="0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 applyProtection="1">
      <alignment vertical="center"/>
      <protection locked="0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 applyProtection="1">
      <alignment horizontal="center" vertical="center" wrapText="1"/>
      <protection locked="0"/>
    </xf>
    <xf numFmtId="0" fontId="20" fillId="0" borderId="18" xfId="0" applyFont="1" applyBorder="1" applyAlignment="1" applyProtection="1">
      <alignment horizontal="center" vertical="center" wrapText="1"/>
      <protection locked="0"/>
    </xf>
    <xf numFmtId="0" fontId="20" fillId="0" borderId="19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Protection="1">
      <alignment vertical="center"/>
      <protection locked="0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5" xfId="0" applyFont="1" applyBorder="1" applyProtection="1">
      <alignment vertical="center"/>
      <protection locked="0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5" fillId="0" borderId="15" xfId="0" applyFont="1" applyBorder="1" applyProtection="1">
      <alignment vertical="center"/>
      <protection locked="0"/>
    </xf>
    <xf numFmtId="0" fontId="15" fillId="0" borderId="4" xfId="0" applyFont="1" applyBorder="1" applyAlignment="1">
      <alignment horizontal="center" vertical="center" wrapText="1"/>
    </xf>
    <xf numFmtId="49" fontId="15" fillId="0" borderId="5" xfId="0" applyNumberFormat="1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>
      <alignment horizontal="center" vertical="center" wrapText="1"/>
    </xf>
    <xf numFmtId="49" fontId="15" fillId="0" borderId="8" xfId="0" applyNumberFormat="1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177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 applyProtection="1">
      <alignment horizontal="center" vertical="center"/>
      <protection locked="0"/>
    </xf>
    <xf numFmtId="2" fontId="24" fillId="0" borderId="5" xfId="0" applyNumberFormat="1" applyFont="1" applyBorder="1" applyAlignment="1">
      <alignment horizontal="center" vertical="center" wrapText="1"/>
    </xf>
    <xf numFmtId="2" fontId="24" fillId="0" borderId="6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177" fontId="15" fillId="0" borderId="24" xfId="0" applyNumberFormat="1" applyFont="1" applyBorder="1" applyAlignment="1">
      <alignment horizontal="center" vertical="center" wrapText="1"/>
    </xf>
    <xf numFmtId="0" fontId="15" fillId="0" borderId="15" xfId="0" applyFont="1" applyBorder="1">
      <alignment vertical="center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78" fontId="15" fillId="0" borderId="26" xfId="1" applyNumberFormat="1" applyFont="1" applyFill="1" applyBorder="1" applyAlignment="1" applyProtection="1">
      <alignment horizontal="center" vertical="center" wrapText="1"/>
    </xf>
    <xf numFmtId="2" fontId="24" fillId="0" borderId="26" xfId="0" applyNumberFormat="1" applyFont="1" applyBorder="1" applyAlignment="1">
      <alignment horizontal="center" vertical="center" wrapText="1"/>
    </xf>
    <xf numFmtId="2" fontId="24" fillId="0" borderId="27" xfId="0" applyNumberFormat="1" applyFont="1" applyBorder="1" applyAlignment="1">
      <alignment horizontal="center" vertical="center" wrapText="1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15" fillId="0" borderId="16" xfId="0" applyFont="1" applyBorder="1" applyProtection="1">
      <alignment vertical="center"/>
      <protection locked="0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7" fontId="15" fillId="0" borderId="28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29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2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15" fillId="0" borderId="3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15" fillId="0" borderId="33" xfId="0" applyFont="1" applyBorder="1" applyAlignment="1" applyProtection="1">
      <alignment horizontal="center" vertical="center"/>
      <protection locked="0"/>
    </xf>
    <xf numFmtId="0" fontId="15" fillId="0" borderId="35" xfId="0" applyFont="1" applyBorder="1" applyAlignment="1" applyProtection="1">
      <alignment horizontal="center" vertical="center"/>
      <protection locked="0"/>
    </xf>
    <xf numFmtId="177" fontId="15" fillId="0" borderId="5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>
      <alignment horizontal="center" vertical="center" wrapText="1"/>
    </xf>
    <xf numFmtId="0" fontId="15" fillId="0" borderId="15" xfId="0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>
      <alignment horizontal="center" vertical="center" wrapText="1"/>
    </xf>
    <xf numFmtId="177" fontId="15" fillId="0" borderId="24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36" xfId="1" applyNumberFormat="1" applyFont="1" applyFill="1" applyBorder="1" applyAlignment="1" applyProtection="1">
      <alignment horizontal="center" vertical="center" wrapText="1"/>
      <protection locked="0"/>
    </xf>
    <xf numFmtId="0" fontId="22" fillId="0" borderId="33" xfId="0" applyFont="1" applyBorder="1" applyAlignment="1">
      <alignment horizontal="center" vertical="center" wrapText="1"/>
    </xf>
    <xf numFmtId="0" fontId="15" fillId="0" borderId="6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15" fillId="0" borderId="20" xfId="0" applyFont="1" applyBorder="1" applyProtection="1">
      <alignment vertical="center"/>
      <protection locked="0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5" fillId="0" borderId="38" xfId="0" applyFont="1" applyBorder="1" applyAlignment="1" applyProtection="1">
      <alignment horizontal="left" vertical="center" wrapText="1"/>
      <protection locked="0"/>
    </xf>
    <xf numFmtId="177" fontId="15" fillId="0" borderId="38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39" xfId="1" applyNumberFormat="1" applyFont="1" applyFill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177" fontId="15" fillId="0" borderId="33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35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43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44" xfId="1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left" vertical="center" wrapText="1"/>
      <protection locked="0"/>
    </xf>
    <xf numFmtId="177" fontId="15" fillId="0" borderId="8" xfId="1" applyNumberFormat="1" applyFont="1" applyFill="1" applyBorder="1" applyAlignment="1" applyProtection="1">
      <alignment horizontal="center" vertical="center" wrapText="1"/>
      <protection locked="0"/>
    </xf>
    <xf numFmtId="177" fontId="15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>
      <alignment horizontal="center" vertical="center" wrapText="1"/>
    </xf>
    <xf numFmtId="0" fontId="16" fillId="0" borderId="14" xfId="0" applyFont="1" applyBorder="1" applyProtection="1">
      <alignment vertical="center"/>
      <protection locked="0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5" fillId="0" borderId="45" xfId="0" applyFont="1" applyBorder="1" applyAlignment="1" applyProtection="1">
      <alignment horizontal="left" vertical="center" wrapText="1"/>
      <protection locked="0"/>
    </xf>
    <xf numFmtId="0" fontId="15" fillId="0" borderId="46" xfId="0" applyFont="1" applyBorder="1" applyAlignment="1" applyProtection="1">
      <alignment horizontal="left" vertical="center" wrapText="1"/>
      <protection locked="0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47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25" fillId="0" borderId="11" xfId="0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horizontal="center" vertical="center" wrapText="1"/>
      <protection locked="0"/>
    </xf>
    <xf numFmtId="0" fontId="25" fillId="0" borderId="15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Protection="1">
      <alignment vertical="center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30" fillId="0" borderId="9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31" fillId="0" borderId="31" xfId="0" applyFont="1" applyBorder="1" applyAlignment="1" applyProtection="1">
      <alignment horizontal="left" vertical="center"/>
      <protection locked="0"/>
    </xf>
    <xf numFmtId="176" fontId="32" fillId="0" borderId="31" xfId="0" applyNumberFormat="1" applyFont="1" applyBorder="1" applyAlignment="1">
      <alignment horizontal="left" vertical="center"/>
    </xf>
    <xf numFmtId="176" fontId="33" fillId="0" borderId="0" xfId="0" applyNumberFormat="1" applyFont="1" applyAlignment="1">
      <alignment horizontal="left" vertical="center"/>
    </xf>
    <xf numFmtId="0" fontId="7" fillId="0" borderId="31" xfId="0" applyFont="1" applyBorder="1">
      <alignment vertical="center"/>
    </xf>
    <xf numFmtId="0" fontId="7" fillId="0" borderId="31" xfId="0" applyFont="1" applyBorder="1" applyAlignment="1">
      <alignment horizontal="left" vertical="center"/>
    </xf>
    <xf numFmtId="0" fontId="12" fillId="0" borderId="5" xfId="0" applyFont="1" applyBorder="1" applyAlignment="1" quotePrefix="1">
      <alignment horizontal="center" vertical="center" wrapText="1"/>
    </xf>
    <xf numFmtId="0" fontId="13" fillId="0" borderId="5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numFmt numFmtId="177" formatCode="0_ "/>
    </dxf>
  </dxfs>
  <tableStyles count="1" defaultTableStyle="TableStyleMedium2" defaultPivotStyle="PivotStyleLight16">
    <tableStyle name="Invisible" pivot="0" table="0" count="0" xr9:uid="{B1C5940E-D7E4-48A6-97B1-F99C324C0536}"/>
  </tableStyles>
  <colors>
    <mruColors>
      <color rgb="000000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194945</xdr:colOff>
      <xdr:row>0</xdr:row>
      <xdr:rowOff>38735</xdr:rowOff>
    </xdr:from>
    <xdr:to>
      <xdr:col>2</xdr:col>
      <xdr:colOff>150495</xdr:colOff>
      <xdr:row>2</xdr:row>
      <xdr:rowOff>248285</xdr:rowOff>
    </xdr:to>
    <xdr:pic>
      <xdr:nvPicPr>
        <xdr:cNvPr id="2" name="图片 1" descr="Yeatru logo (9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075" y="38735"/>
          <a:ext cx="768985" cy="76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showGridLines="0" tabSelected="1" zoomScale="85" zoomScaleNormal="85" topLeftCell="A63" workbookViewId="0">
      <selection activeCell="O69" sqref="O69"/>
    </sheetView>
  </sheetViews>
  <sheetFormatPr defaultColWidth="9" defaultRowHeight="13.85"/>
  <cols>
    <col min="1" max="1" width="2.10619469026549" style="31" customWidth="1"/>
    <col min="2" max="2" width="11.3362831858407" style="31" customWidth="1"/>
    <col min="3" max="3" width="27.8849557522124" style="32" customWidth="1"/>
    <col min="4" max="4" width="32.6637168141593" style="31" customWidth="1"/>
    <col min="5" max="14" width="6.7787610619469" style="31" customWidth="1"/>
    <col min="15" max="16384" width="9" style="31"/>
  </cols>
  <sheetData>
    <row r="1" s="25" customFormat="1" ht="23" customHeight="1" spans="1:16">
      <c r="A1" s="33"/>
      <c r="B1" s="34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</row>
    <row r="2" s="25" customFormat="1" ht="21" customHeight="1" spans="1:16">
      <c r="A2" s="37"/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</row>
    <row r="3" s="25" customFormat="1" ht="21" customHeight="1" spans="1:16">
      <c r="A3" s="37"/>
      <c r="B3" s="41" t="s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3"/>
    </row>
    <row r="4" s="26" customFormat="1" ht="19.95" customHeight="1" spans="1:16">
      <c r="A4" s="44"/>
      <c r="B4" s="45" t="s">
        <v>2</v>
      </c>
      <c r="C4" s="46"/>
      <c r="D4" s="47" t="s">
        <v>3</v>
      </c>
      <c r="E4" s="47"/>
      <c r="F4" s="47"/>
      <c r="G4" s="48" t="s">
        <v>4</v>
      </c>
      <c r="H4" s="48"/>
      <c r="I4" s="48"/>
      <c r="J4" s="49" t="s">
        <v>5</v>
      </c>
      <c r="K4" s="49"/>
      <c r="L4" s="49"/>
      <c r="M4" s="49"/>
      <c r="N4" s="50"/>
    </row>
    <row r="5" s="26" customFormat="1" ht="19.95" customHeight="1" spans="1:16">
      <c r="A5" s="44"/>
      <c r="B5" s="51" t="s">
        <v>6</v>
      </c>
      <c r="C5" s="52"/>
      <c r="D5" s="53" t="s">
        <v>7</v>
      </c>
      <c r="E5" s="53"/>
      <c r="F5" s="53"/>
      <c r="G5" s="54" t="s">
        <v>8</v>
      </c>
      <c r="H5" s="54"/>
      <c r="I5" s="54"/>
      <c r="J5" s="53"/>
      <c r="K5" s="53"/>
      <c r="L5" s="53"/>
      <c r="M5" s="53"/>
      <c r="N5" s="55"/>
      <c r="P5" s="56"/>
    </row>
    <row r="6" s="26" customFormat="1" ht="19.95" customHeight="1" spans="1:16">
      <c r="A6" s="44"/>
      <c r="B6" s="51" t="s">
        <v>9</v>
      </c>
      <c r="C6" s="52"/>
      <c r="D6" s="53"/>
      <c r="E6" s="53"/>
      <c r="F6" s="53"/>
      <c r="G6" s="54" t="s">
        <v>10</v>
      </c>
      <c r="H6" s="54"/>
      <c r="I6" s="54"/>
      <c r="J6" s="53" t="s">
        <v>11</v>
      </c>
      <c r="K6" s="53"/>
      <c r="L6" s="53"/>
      <c r="M6" s="53"/>
      <c r="N6" s="55"/>
    </row>
    <row r="7" s="26" customFormat="1" ht="19.95" customHeight="1" spans="1:16">
      <c r="A7" s="44"/>
      <c r="B7" s="51" t="s">
        <v>12</v>
      </c>
      <c r="C7" s="52"/>
      <c r="D7" s="53"/>
      <c r="E7" s="53"/>
      <c r="F7" s="53"/>
      <c r="G7" s="54" t="s">
        <v>13</v>
      </c>
      <c r="H7" s="54"/>
      <c r="I7" s="54"/>
      <c r="J7" s="57"/>
      <c r="K7" s="57"/>
      <c r="L7" s="57"/>
      <c r="M7" s="57"/>
      <c r="N7" s="58"/>
    </row>
    <row r="8" s="26" customFormat="1" ht="19.95" customHeight="1" spans="1:16">
      <c r="A8" s="44"/>
      <c r="B8" s="51" t="s">
        <v>14</v>
      </c>
      <c r="C8" s="52"/>
      <c r="D8" s="53"/>
      <c r="E8" s="53"/>
      <c r="F8" s="53"/>
      <c r="G8" s="54" t="s">
        <v>15</v>
      </c>
      <c r="H8" s="54"/>
      <c r="I8" s="54"/>
      <c r="J8" s="53"/>
      <c r="K8" s="53"/>
      <c r="L8" s="53"/>
      <c r="M8" s="53"/>
      <c r="N8" s="55"/>
    </row>
    <row r="9" s="26" customFormat="1" ht="19.95" customHeight="1" spans="1:16">
      <c r="A9" s="44"/>
      <c r="B9" s="51" t="s">
        <v>16</v>
      </c>
      <c r="C9" s="52"/>
      <c r="D9" s="53">
        <f>E63+G63+I63+K63+M63+E86+G86+I86+K86+M86+E109+G109+I109+K109+M109+E132+G132+I132+K132+M132</f>
        <v>500</v>
      </c>
      <c r="E9" s="53"/>
      <c r="F9" s="53"/>
      <c r="G9" s="54" t="s">
        <v>17</v>
      </c>
      <c r="H9" s="54"/>
      <c r="I9" s="54"/>
      <c r="J9" s="53">
        <f>J39+J40+J41+J42+J43+J44+J45+J46+J47+J48+J49+J50+J51+J52+J53+J54+J55+J56+J57+J58</f>
        <v>0</v>
      </c>
      <c r="K9" s="53"/>
      <c r="L9" s="53"/>
      <c r="M9" s="53"/>
      <c r="N9" s="55"/>
    </row>
    <row r="10" s="26" customFormat="1" ht="19.95" customHeight="1" spans="1:16">
      <c r="A10" s="44"/>
      <c r="B10" s="51" t="s">
        <v>18</v>
      </c>
      <c r="C10" s="52"/>
      <c r="D10" s="53"/>
      <c r="E10" s="53"/>
      <c r="F10" s="53"/>
      <c r="G10" s="54" t="s">
        <v>19</v>
      </c>
      <c r="H10" s="54"/>
      <c r="I10" s="54"/>
      <c r="J10" s="53"/>
      <c r="K10" s="53"/>
      <c r="L10" s="53"/>
      <c r="M10" s="53"/>
      <c r="N10" s="55"/>
    </row>
    <row r="11" ht="17.25" spans="1:16">
      <c r="A11" s="59"/>
      <c r="B11" s="60" t="s">
        <v>20</v>
      </c>
      <c r="C11" s="61"/>
      <c r="D11" s="62" t="s">
        <v>21</v>
      </c>
      <c r="E11" s="62"/>
      <c r="F11" s="62"/>
      <c r="G11" s="54" t="s">
        <v>22</v>
      </c>
      <c r="H11" s="54"/>
      <c r="I11" s="54"/>
      <c r="J11" s="62" t="s">
        <v>23</v>
      </c>
      <c r="K11" s="62"/>
      <c r="L11" s="62"/>
      <c r="M11" s="62"/>
      <c r="N11" s="63"/>
    </row>
    <row r="12" s="27" customFormat="1" ht="21" customHeight="1" spans="1:16">
      <c r="A12" s="64"/>
      <c r="B12" s="65" t="s">
        <v>24</v>
      </c>
      <c r="C12" s="66"/>
      <c r="D12" s="66"/>
      <c r="E12" s="67"/>
      <c r="F12" s="68" t="s">
        <v>25</v>
      </c>
      <c r="G12" s="69"/>
      <c r="H12" s="69"/>
      <c r="I12" s="69"/>
      <c r="J12" s="69"/>
      <c r="K12" s="69"/>
      <c r="L12" s="69"/>
      <c r="M12" s="69"/>
      <c r="N12" s="70"/>
    </row>
    <row r="13" s="27" customFormat="1" ht="13.2" customHeight="1" spans="1:16">
      <c r="A13" s="64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3"/>
    </row>
    <row r="14" s="28" customFormat="1" ht="16.05" customHeight="1" spans="1:16">
      <c r="A14" s="74"/>
      <c r="B14" s="75" t="s">
        <v>26</v>
      </c>
      <c r="C14" s="76"/>
      <c r="D14" s="76"/>
      <c r="E14" s="76"/>
      <c r="F14" s="77" t="s">
        <v>27</v>
      </c>
      <c r="G14" s="77"/>
      <c r="H14" s="77"/>
      <c r="I14" s="77" t="s">
        <v>28</v>
      </c>
      <c r="J14" s="77"/>
      <c r="K14" s="77"/>
      <c r="L14" s="77" t="s">
        <v>29</v>
      </c>
      <c r="M14" s="77"/>
      <c r="N14" s="78" t="s">
        <v>30</v>
      </c>
    </row>
    <row r="15" s="28" customFormat="1" ht="16.05" customHeight="1" spans="1:16">
      <c r="A15" s="79"/>
      <c r="B15" s="80"/>
      <c r="C15" s="81"/>
      <c r="D15" s="81"/>
      <c r="E15" s="81"/>
      <c r="F15" s="82" t="s">
        <v>31</v>
      </c>
      <c r="G15" s="82" t="s">
        <v>32</v>
      </c>
      <c r="H15" s="82" t="s">
        <v>33</v>
      </c>
      <c r="I15" s="82" t="s">
        <v>31</v>
      </c>
      <c r="J15" s="82" t="s">
        <v>32</v>
      </c>
      <c r="K15" s="82" t="s">
        <v>33</v>
      </c>
      <c r="L15" s="82"/>
      <c r="M15" s="82"/>
      <c r="N15" s="83"/>
    </row>
    <row r="16" s="28" customFormat="1" ht="16.05" customHeight="1" spans="1:16">
      <c r="A16" s="79"/>
      <c r="B16" s="80"/>
      <c r="C16" s="81"/>
      <c r="D16" s="81"/>
      <c r="E16" s="81"/>
      <c r="F16" s="82" t="s">
        <v>34</v>
      </c>
      <c r="G16" s="82" t="s">
        <v>34</v>
      </c>
      <c r="H16" s="82" t="s">
        <v>34</v>
      </c>
      <c r="I16" s="82" t="s">
        <v>34</v>
      </c>
      <c r="J16" s="82" t="s">
        <v>34</v>
      </c>
      <c r="K16" s="82" t="s">
        <v>34</v>
      </c>
      <c r="L16" s="82"/>
      <c r="M16" s="82"/>
      <c r="N16" s="83"/>
    </row>
    <row r="17" s="27" customFormat="1" ht="19.95" customHeight="1" spans="1:14">
      <c r="A17" s="84"/>
      <c r="B17" s="85">
        <v>1</v>
      </c>
      <c r="C17" s="86" t="s">
        <v>35</v>
      </c>
      <c r="D17" s="86"/>
      <c r="E17" s="86"/>
      <c r="F17" s="87"/>
      <c r="G17" s="87"/>
      <c r="H17" s="87"/>
      <c r="I17" s="87"/>
      <c r="J17" s="87"/>
      <c r="K17" s="87"/>
      <c r="L17" s="87"/>
      <c r="M17" s="87"/>
      <c r="N17" s="88"/>
    </row>
    <row r="18" s="27" customFormat="1" ht="19.95" customHeight="1" spans="1:14">
      <c r="A18" s="84"/>
      <c r="B18" s="85">
        <v>2</v>
      </c>
      <c r="C18" s="86"/>
      <c r="D18" s="86"/>
      <c r="E18" s="86"/>
      <c r="F18" s="87"/>
      <c r="G18" s="87"/>
      <c r="H18" s="87"/>
      <c r="I18" s="87"/>
      <c r="J18" s="87"/>
      <c r="K18" s="87"/>
      <c r="L18" s="87"/>
      <c r="M18" s="87"/>
      <c r="N18" s="88"/>
    </row>
    <row r="19" s="27" customFormat="1" ht="19.95" customHeight="1" spans="1:14">
      <c r="A19" s="84"/>
      <c r="B19" s="85">
        <v>3</v>
      </c>
      <c r="C19" s="86"/>
      <c r="D19" s="86"/>
      <c r="E19" s="86"/>
      <c r="F19" s="87"/>
      <c r="G19" s="87"/>
      <c r="H19" s="87"/>
      <c r="I19" s="87"/>
      <c r="J19" s="87"/>
      <c r="K19" s="87"/>
      <c r="L19" s="87"/>
      <c r="M19" s="87"/>
      <c r="N19" s="88"/>
    </row>
    <row r="20" s="27" customFormat="1" ht="19.95" customHeight="1" spans="1:14">
      <c r="A20" s="84"/>
      <c r="B20" s="85">
        <v>4</v>
      </c>
      <c r="C20" s="86"/>
      <c r="D20" s="86"/>
      <c r="E20" s="86"/>
      <c r="F20" s="87"/>
      <c r="G20" s="87"/>
      <c r="H20" s="87"/>
      <c r="I20" s="87"/>
      <c r="J20" s="87"/>
      <c r="K20" s="87"/>
      <c r="L20" s="87"/>
      <c r="M20" s="87"/>
      <c r="N20" s="88"/>
    </row>
    <row r="21" s="27" customFormat="1" ht="19.95" customHeight="1" spans="1:14">
      <c r="A21" s="84"/>
      <c r="B21" s="85">
        <v>5</v>
      </c>
      <c r="C21" s="86"/>
      <c r="D21" s="86"/>
      <c r="E21" s="86"/>
      <c r="F21" s="87"/>
      <c r="G21" s="87"/>
      <c r="H21" s="87"/>
      <c r="I21" s="87"/>
      <c r="J21" s="87"/>
      <c r="K21" s="87"/>
      <c r="L21" s="87"/>
      <c r="M21" s="87"/>
      <c r="N21" s="88"/>
    </row>
    <row r="22" s="27" customFormat="1" ht="19.95" customHeight="1" spans="1:14">
      <c r="A22" s="84"/>
      <c r="B22" s="85">
        <v>6</v>
      </c>
      <c r="C22" s="86"/>
      <c r="D22" s="86"/>
      <c r="E22" s="86"/>
      <c r="F22" s="87"/>
      <c r="G22" s="87"/>
      <c r="H22" s="87"/>
      <c r="I22" s="87"/>
      <c r="J22" s="87"/>
      <c r="K22" s="87"/>
      <c r="L22" s="87"/>
      <c r="M22" s="87"/>
      <c r="N22" s="88"/>
    </row>
    <row r="23" s="27" customFormat="1" ht="19.95" customHeight="1" spans="1:14">
      <c r="A23" s="84"/>
      <c r="B23" s="85">
        <v>7</v>
      </c>
      <c r="C23" s="86"/>
      <c r="D23" s="86"/>
      <c r="E23" s="86"/>
      <c r="F23" s="87"/>
      <c r="G23" s="87"/>
      <c r="H23" s="87"/>
      <c r="I23" s="87"/>
      <c r="J23" s="87"/>
      <c r="K23" s="87"/>
      <c r="L23" s="87"/>
      <c r="M23" s="87"/>
      <c r="N23" s="88"/>
    </row>
    <row r="24" s="27" customFormat="1" ht="19.95" customHeight="1" spans="1:14">
      <c r="A24" s="84"/>
      <c r="B24" s="85">
        <v>8</v>
      </c>
      <c r="C24" s="86"/>
      <c r="D24" s="86"/>
      <c r="E24" s="86"/>
      <c r="F24" s="87"/>
      <c r="G24" s="87"/>
      <c r="H24" s="87"/>
      <c r="I24" s="87"/>
      <c r="J24" s="87"/>
      <c r="K24" s="87"/>
      <c r="L24" s="87"/>
      <c r="M24" s="87"/>
      <c r="N24" s="88"/>
    </row>
    <row r="25" s="27" customFormat="1" ht="19.95" customHeight="1" spans="1:14">
      <c r="A25" s="84"/>
      <c r="B25" s="85">
        <v>9</v>
      </c>
      <c r="C25" s="86"/>
      <c r="D25" s="86"/>
      <c r="E25" s="86"/>
      <c r="F25" s="87"/>
      <c r="G25" s="87"/>
      <c r="H25" s="87"/>
      <c r="I25" s="87"/>
      <c r="J25" s="87"/>
      <c r="K25" s="87"/>
      <c r="L25" s="87"/>
      <c r="M25" s="87"/>
      <c r="N25" s="88"/>
    </row>
    <row r="26" s="27" customFormat="1" ht="19.95" customHeight="1" spans="1:14">
      <c r="A26" s="84"/>
      <c r="B26" s="85">
        <v>10</v>
      </c>
      <c r="C26" s="86"/>
      <c r="D26" s="86"/>
      <c r="E26" s="86"/>
      <c r="F26" s="87"/>
      <c r="G26" s="87"/>
      <c r="H26" s="87"/>
      <c r="I26" s="87"/>
      <c r="J26" s="87"/>
      <c r="K26" s="87"/>
      <c r="L26" s="87"/>
      <c r="M26" s="87"/>
      <c r="N26" s="88"/>
    </row>
    <row r="27" s="27" customFormat="1" ht="19.95" customHeight="1" spans="1:14">
      <c r="A27" s="84"/>
      <c r="B27" s="85">
        <v>11</v>
      </c>
      <c r="C27" s="86"/>
      <c r="D27" s="86"/>
      <c r="E27" s="86"/>
      <c r="F27" s="87"/>
      <c r="G27" s="87"/>
      <c r="H27" s="87"/>
      <c r="I27" s="87"/>
      <c r="J27" s="87"/>
      <c r="K27" s="87"/>
      <c r="L27" s="87"/>
      <c r="M27" s="87"/>
      <c r="N27" s="88"/>
    </row>
    <row r="28" s="27" customFormat="1" ht="19.95" customHeight="1" spans="1:14">
      <c r="A28" s="84"/>
      <c r="B28" s="85">
        <v>12</v>
      </c>
      <c r="C28" s="86"/>
      <c r="D28" s="86"/>
      <c r="E28" s="86"/>
      <c r="F28" s="87"/>
      <c r="G28" s="87"/>
      <c r="H28" s="87"/>
      <c r="I28" s="87"/>
      <c r="J28" s="87"/>
      <c r="K28" s="87"/>
      <c r="L28" s="87"/>
      <c r="M28" s="87"/>
      <c r="N28" s="88"/>
    </row>
    <row r="29" s="27" customFormat="1" ht="19.95" customHeight="1" spans="1:14">
      <c r="A29" s="84"/>
      <c r="B29" s="85">
        <v>13</v>
      </c>
      <c r="C29" s="86"/>
      <c r="D29" s="86"/>
      <c r="E29" s="86"/>
      <c r="F29" s="87"/>
      <c r="G29" s="87"/>
      <c r="H29" s="87"/>
      <c r="I29" s="87"/>
      <c r="J29" s="87"/>
      <c r="K29" s="87"/>
      <c r="L29" s="87"/>
      <c r="M29" s="87"/>
      <c r="N29" s="88"/>
    </row>
    <row r="30" s="27" customFormat="1" ht="19.95" customHeight="1" spans="1:14">
      <c r="A30" s="84"/>
      <c r="B30" s="85">
        <v>14</v>
      </c>
      <c r="C30" s="86"/>
      <c r="D30" s="86"/>
      <c r="E30" s="86"/>
      <c r="F30" s="87"/>
      <c r="G30" s="87"/>
      <c r="H30" s="87"/>
      <c r="I30" s="87"/>
      <c r="J30" s="87"/>
      <c r="K30" s="87"/>
      <c r="L30" s="87"/>
      <c r="M30" s="87"/>
      <c r="N30" s="88"/>
    </row>
    <row r="31" s="27" customFormat="1" ht="19.95" customHeight="1" spans="1:14">
      <c r="A31" s="84"/>
      <c r="B31" s="85">
        <v>15</v>
      </c>
      <c r="C31" s="86"/>
      <c r="D31" s="86"/>
      <c r="E31" s="86"/>
      <c r="F31" s="87"/>
      <c r="G31" s="87"/>
      <c r="H31" s="87"/>
      <c r="I31" s="87"/>
      <c r="J31" s="87"/>
      <c r="K31" s="87"/>
      <c r="L31" s="87"/>
      <c r="M31" s="87"/>
      <c r="N31" s="88"/>
    </row>
    <row r="32" s="27" customFormat="1" ht="19.95" customHeight="1" spans="1:14">
      <c r="A32" s="84"/>
      <c r="B32" s="85">
        <v>16</v>
      </c>
      <c r="C32" s="86"/>
      <c r="D32" s="86"/>
      <c r="E32" s="86"/>
      <c r="F32" s="87"/>
      <c r="G32" s="87"/>
      <c r="H32" s="87"/>
      <c r="I32" s="87"/>
      <c r="J32" s="87"/>
      <c r="K32" s="87"/>
      <c r="L32" s="87"/>
      <c r="M32" s="87"/>
      <c r="N32" s="88"/>
    </row>
    <row r="33" s="27" customFormat="1" ht="19.95" customHeight="1" spans="1:14">
      <c r="A33" s="84"/>
      <c r="B33" s="85">
        <v>17</v>
      </c>
      <c r="C33" s="86"/>
      <c r="D33" s="86"/>
      <c r="E33" s="86"/>
      <c r="F33" s="87"/>
      <c r="G33" s="87"/>
      <c r="H33" s="87"/>
      <c r="I33" s="87"/>
      <c r="J33" s="87"/>
      <c r="K33" s="87"/>
      <c r="L33" s="87"/>
      <c r="M33" s="87"/>
      <c r="N33" s="88"/>
    </row>
    <row r="34" s="27" customFormat="1" ht="19.95" customHeight="1" spans="1:14">
      <c r="A34" s="84"/>
      <c r="B34" s="85">
        <v>18</v>
      </c>
      <c r="C34" s="86"/>
      <c r="D34" s="86"/>
      <c r="E34" s="86"/>
      <c r="F34" s="87"/>
      <c r="G34" s="87"/>
      <c r="H34" s="87"/>
      <c r="I34" s="87"/>
      <c r="J34" s="87"/>
      <c r="K34" s="87"/>
      <c r="L34" s="87"/>
      <c r="M34" s="87"/>
      <c r="N34" s="88"/>
    </row>
    <row r="35" s="27" customFormat="1" ht="19.95" customHeight="1" spans="1:14">
      <c r="A35" s="84"/>
      <c r="B35" s="85">
        <v>19</v>
      </c>
      <c r="C35" s="86"/>
      <c r="D35" s="86"/>
      <c r="E35" s="86"/>
      <c r="F35" s="87"/>
      <c r="G35" s="87"/>
      <c r="H35" s="87"/>
      <c r="I35" s="87"/>
      <c r="J35" s="87"/>
      <c r="K35" s="87"/>
      <c r="L35" s="87"/>
      <c r="M35" s="87"/>
      <c r="N35" s="88"/>
    </row>
    <row r="36" s="27" customFormat="1" ht="19.95" customHeight="1" spans="1:14">
      <c r="A36" s="84"/>
      <c r="B36" s="89">
        <v>20</v>
      </c>
      <c r="C36" s="90"/>
      <c r="D36" s="90"/>
      <c r="E36" s="90"/>
      <c r="F36" s="91"/>
      <c r="G36" s="91"/>
      <c r="H36" s="91"/>
      <c r="I36" s="91"/>
      <c r="J36" s="91"/>
      <c r="K36" s="91"/>
      <c r="L36" s="91"/>
      <c r="M36" s="91"/>
      <c r="N36" s="92"/>
    </row>
    <row r="37" s="27" customFormat="1" ht="19.2" customHeight="1" spans="1:14">
      <c r="A37" s="84"/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5"/>
    </row>
    <row r="38" s="28" customFormat="1" ht="28.05" customHeight="1" spans="1:14">
      <c r="A38" s="79"/>
      <c r="B38" s="96" t="s">
        <v>36</v>
      </c>
      <c r="C38" s="97"/>
      <c r="D38" s="97"/>
      <c r="E38" s="97"/>
      <c r="F38" s="77" t="s">
        <v>37</v>
      </c>
      <c r="G38" s="77" t="s">
        <v>38</v>
      </c>
      <c r="H38" s="77" t="s">
        <v>39</v>
      </c>
      <c r="I38" s="77" t="s">
        <v>40</v>
      </c>
      <c r="J38" s="77" t="s">
        <v>41</v>
      </c>
      <c r="K38" s="77" t="s">
        <v>42</v>
      </c>
      <c r="L38" s="77" t="s">
        <v>43</v>
      </c>
      <c r="M38" s="77" t="s">
        <v>44</v>
      </c>
      <c r="N38" s="78"/>
    </row>
    <row r="39" s="27" customFormat="1" ht="19.95" customHeight="1" spans="1:14">
      <c r="A39" s="84"/>
      <c r="B39" s="85">
        <v>1</v>
      </c>
      <c r="C39" s="98" t="str">
        <f>C17</f>
        <v>865865856</v>
      </c>
      <c r="D39" s="98"/>
      <c r="E39" s="98"/>
      <c r="F39" s="99"/>
      <c r="G39" s="87"/>
      <c r="H39" s="87"/>
      <c r="I39" s="87"/>
      <c r="J39" s="87"/>
      <c r="K39" s="87"/>
      <c r="L39" s="100">
        <f>F39*G39*H39*J39/1000000</f>
        <v>0</v>
      </c>
      <c r="M39" s="100">
        <f>J39*K39</f>
        <v>0</v>
      </c>
      <c r="N39" s="101"/>
    </row>
    <row r="40" s="27" customFormat="1" ht="19.95" customHeight="1" spans="1:14">
      <c r="A40" s="84"/>
      <c r="B40" s="85">
        <v>2</v>
      </c>
      <c r="C40" s="98">
        <f t="shared" ref="C40:C58" si="0">C18</f>
        <v>0</v>
      </c>
      <c r="D40" s="98"/>
      <c r="E40" s="98"/>
      <c r="F40" s="99"/>
      <c r="G40" s="87"/>
      <c r="H40" s="87"/>
      <c r="I40" s="87"/>
      <c r="J40" s="87"/>
      <c r="K40" s="87"/>
      <c r="L40" s="100">
        <f t="shared" ref="L40:L58" si="1">F40*G40*H40*J40/1000000</f>
        <v>0</v>
      </c>
      <c r="M40" s="100">
        <f t="shared" ref="M40:M58" si="2">J40*K40</f>
        <v>0</v>
      </c>
      <c r="N40" s="101"/>
    </row>
    <row r="41" s="27" customFormat="1" ht="19.95" customHeight="1" spans="1:14">
      <c r="A41" s="84"/>
      <c r="B41" s="85">
        <v>3</v>
      </c>
      <c r="C41" s="98">
        <f t="shared" si="0"/>
        <v>0</v>
      </c>
      <c r="D41" s="98"/>
      <c r="E41" s="98"/>
      <c r="F41" s="99"/>
      <c r="G41" s="87"/>
      <c r="H41" s="87"/>
      <c r="I41" s="87"/>
      <c r="J41" s="87"/>
      <c r="K41" s="87"/>
      <c r="L41" s="100">
        <f t="shared" si="1"/>
        <v>0</v>
      </c>
      <c r="M41" s="100">
        <f t="shared" si="2"/>
        <v>0</v>
      </c>
      <c r="N41" s="101"/>
    </row>
    <row r="42" s="27" customFormat="1" ht="19.95" customHeight="1" spans="1:14">
      <c r="A42" s="84"/>
      <c r="B42" s="85">
        <v>4</v>
      </c>
      <c r="C42" s="98">
        <f t="shared" si="0"/>
        <v>0</v>
      </c>
      <c r="D42" s="98"/>
      <c r="E42" s="98"/>
      <c r="F42" s="99"/>
      <c r="G42" s="87"/>
      <c r="H42" s="87"/>
      <c r="I42" s="87"/>
      <c r="J42" s="87"/>
      <c r="K42" s="87"/>
      <c r="L42" s="100">
        <f t="shared" si="1"/>
        <v>0</v>
      </c>
      <c r="M42" s="100">
        <f t="shared" si="2"/>
        <v>0</v>
      </c>
      <c r="N42" s="101"/>
    </row>
    <row r="43" s="27" customFormat="1" ht="19.95" customHeight="1" spans="1:14">
      <c r="A43" s="84"/>
      <c r="B43" s="85">
        <v>5</v>
      </c>
      <c r="C43" s="98">
        <f t="shared" si="0"/>
        <v>0</v>
      </c>
      <c r="D43" s="98"/>
      <c r="E43" s="98"/>
      <c r="F43" s="99"/>
      <c r="G43" s="87"/>
      <c r="H43" s="87"/>
      <c r="I43" s="87"/>
      <c r="J43" s="87"/>
      <c r="K43" s="87"/>
      <c r="L43" s="100">
        <f t="shared" si="1"/>
        <v>0</v>
      </c>
      <c r="M43" s="100">
        <f t="shared" si="2"/>
        <v>0</v>
      </c>
      <c r="N43" s="101"/>
    </row>
    <row r="44" s="27" customFormat="1" ht="19.95" customHeight="1" spans="1:14">
      <c r="A44" s="84"/>
      <c r="B44" s="85">
        <v>6</v>
      </c>
      <c r="C44" s="98">
        <f t="shared" si="0"/>
        <v>0</v>
      </c>
      <c r="D44" s="98"/>
      <c r="E44" s="98"/>
      <c r="F44" s="99"/>
      <c r="G44" s="87"/>
      <c r="H44" s="87"/>
      <c r="I44" s="87"/>
      <c r="J44" s="87"/>
      <c r="K44" s="87"/>
      <c r="L44" s="100">
        <f t="shared" si="1"/>
        <v>0</v>
      </c>
      <c r="M44" s="100">
        <f t="shared" si="2"/>
        <v>0</v>
      </c>
      <c r="N44" s="101"/>
    </row>
    <row r="45" s="27" customFormat="1" ht="19.95" customHeight="1" spans="1:14">
      <c r="A45" s="84"/>
      <c r="B45" s="85">
        <v>7</v>
      </c>
      <c r="C45" s="98">
        <f t="shared" si="0"/>
        <v>0</v>
      </c>
      <c r="D45" s="98"/>
      <c r="E45" s="98"/>
      <c r="F45" s="99"/>
      <c r="G45" s="87"/>
      <c r="H45" s="87"/>
      <c r="I45" s="87"/>
      <c r="J45" s="87"/>
      <c r="K45" s="87"/>
      <c r="L45" s="100">
        <f t="shared" si="1"/>
        <v>0</v>
      </c>
      <c r="M45" s="100">
        <f t="shared" si="2"/>
        <v>0</v>
      </c>
      <c r="N45" s="101"/>
    </row>
    <row r="46" s="27" customFormat="1" ht="19.95" customHeight="1" spans="1:14">
      <c r="A46" s="84"/>
      <c r="B46" s="85">
        <v>8</v>
      </c>
      <c r="C46" s="98">
        <f t="shared" si="0"/>
        <v>0</v>
      </c>
      <c r="D46" s="98"/>
      <c r="E46" s="98"/>
      <c r="F46" s="99"/>
      <c r="G46" s="87"/>
      <c r="H46" s="87"/>
      <c r="I46" s="87"/>
      <c r="J46" s="87"/>
      <c r="K46" s="87"/>
      <c r="L46" s="100">
        <f t="shared" si="1"/>
        <v>0</v>
      </c>
      <c r="M46" s="100">
        <f t="shared" si="2"/>
        <v>0</v>
      </c>
      <c r="N46" s="101"/>
    </row>
    <row r="47" s="27" customFormat="1" ht="19.95" customHeight="1" spans="1:14">
      <c r="A47" s="84"/>
      <c r="B47" s="85">
        <v>9</v>
      </c>
      <c r="C47" s="98">
        <f t="shared" si="0"/>
        <v>0</v>
      </c>
      <c r="D47" s="98"/>
      <c r="E47" s="98"/>
      <c r="F47" s="99"/>
      <c r="G47" s="87"/>
      <c r="H47" s="87"/>
      <c r="I47" s="87"/>
      <c r="J47" s="87"/>
      <c r="K47" s="87"/>
      <c r="L47" s="100">
        <f t="shared" si="1"/>
        <v>0</v>
      </c>
      <c r="M47" s="100">
        <f t="shared" si="2"/>
        <v>0</v>
      </c>
      <c r="N47" s="101"/>
    </row>
    <row r="48" s="27" customFormat="1" ht="19.95" customHeight="1" spans="1:14">
      <c r="A48" s="84"/>
      <c r="B48" s="85">
        <v>10</v>
      </c>
      <c r="C48" s="98">
        <f t="shared" si="0"/>
        <v>0</v>
      </c>
      <c r="D48" s="98"/>
      <c r="E48" s="98"/>
      <c r="F48" s="99"/>
      <c r="G48" s="87"/>
      <c r="H48" s="87"/>
      <c r="I48" s="87"/>
      <c r="J48" s="87"/>
      <c r="K48" s="87"/>
      <c r="L48" s="100">
        <f t="shared" si="1"/>
        <v>0</v>
      </c>
      <c r="M48" s="100">
        <f t="shared" si="2"/>
        <v>0</v>
      </c>
      <c r="N48" s="101"/>
    </row>
    <row r="49" s="27" customFormat="1" ht="19.95" customHeight="1" spans="1:14">
      <c r="A49" s="84"/>
      <c r="B49" s="85">
        <v>11</v>
      </c>
      <c r="C49" s="98">
        <f t="shared" si="0"/>
        <v>0</v>
      </c>
      <c r="D49" s="98"/>
      <c r="E49" s="98"/>
      <c r="F49" s="99"/>
      <c r="G49" s="87"/>
      <c r="H49" s="87"/>
      <c r="I49" s="87"/>
      <c r="J49" s="87"/>
      <c r="K49" s="87"/>
      <c r="L49" s="100">
        <f t="shared" si="1"/>
        <v>0</v>
      </c>
      <c r="M49" s="100">
        <f t="shared" si="2"/>
        <v>0</v>
      </c>
      <c r="N49" s="101"/>
    </row>
    <row r="50" s="27" customFormat="1" ht="19.95" customHeight="1" spans="1:14">
      <c r="A50" s="84"/>
      <c r="B50" s="85">
        <v>12</v>
      </c>
      <c r="C50" s="98">
        <f t="shared" si="0"/>
        <v>0</v>
      </c>
      <c r="D50" s="98"/>
      <c r="E50" s="98"/>
      <c r="F50" s="99"/>
      <c r="G50" s="87"/>
      <c r="H50" s="87"/>
      <c r="I50" s="87"/>
      <c r="J50" s="87"/>
      <c r="K50" s="87"/>
      <c r="L50" s="100">
        <f t="shared" si="1"/>
        <v>0</v>
      </c>
      <c r="M50" s="100">
        <f t="shared" si="2"/>
        <v>0</v>
      </c>
      <c r="N50" s="101"/>
    </row>
    <row r="51" s="27" customFormat="1" ht="19.95" customHeight="1" spans="1:14">
      <c r="A51" s="84"/>
      <c r="B51" s="85">
        <v>13</v>
      </c>
      <c r="C51" s="98">
        <f t="shared" si="0"/>
        <v>0</v>
      </c>
      <c r="D51" s="98"/>
      <c r="E51" s="98"/>
      <c r="F51" s="99"/>
      <c r="G51" s="87"/>
      <c r="H51" s="87"/>
      <c r="I51" s="87"/>
      <c r="J51" s="87"/>
      <c r="K51" s="87"/>
      <c r="L51" s="100">
        <f t="shared" si="1"/>
        <v>0</v>
      </c>
      <c r="M51" s="100">
        <f t="shared" si="2"/>
        <v>0</v>
      </c>
      <c r="N51" s="101"/>
    </row>
    <row r="52" s="27" customFormat="1" ht="19.95" customHeight="1" spans="1:14">
      <c r="A52" s="84"/>
      <c r="B52" s="85">
        <v>14</v>
      </c>
      <c r="C52" s="98">
        <f t="shared" si="0"/>
        <v>0</v>
      </c>
      <c r="D52" s="98"/>
      <c r="E52" s="98"/>
      <c r="F52" s="99"/>
      <c r="G52" s="87"/>
      <c r="H52" s="87"/>
      <c r="I52" s="87"/>
      <c r="J52" s="87"/>
      <c r="K52" s="87"/>
      <c r="L52" s="100">
        <f t="shared" si="1"/>
        <v>0</v>
      </c>
      <c r="M52" s="100">
        <f t="shared" si="2"/>
        <v>0</v>
      </c>
      <c r="N52" s="101"/>
    </row>
    <row r="53" s="27" customFormat="1" ht="19.95" customHeight="1" spans="1:14">
      <c r="A53" s="84"/>
      <c r="B53" s="85">
        <v>15</v>
      </c>
      <c r="C53" s="98">
        <f t="shared" si="0"/>
        <v>0</v>
      </c>
      <c r="D53" s="98"/>
      <c r="E53" s="98"/>
      <c r="F53" s="99"/>
      <c r="G53" s="87"/>
      <c r="H53" s="87"/>
      <c r="I53" s="87"/>
      <c r="J53" s="87"/>
      <c r="K53" s="87"/>
      <c r="L53" s="100">
        <f t="shared" si="1"/>
        <v>0</v>
      </c>
      <c r="M53" s="100">
        <f t="shared" si="2"/>
        <v>0</v>
      </c>
      <c r="N53" s="101"/>
    </row>
    <row r="54" s="27" customFormat="1" ht="19.95" customHeight="1" spans="1:14">
      <c r="A54" s="84"/>
      <c r="B54" s="85">
        <v>16</v>
      </c>
      <c r="C54" s="98">
        <f t="shared" si="0"/>
        <v>0</v>
      </c>
      <c r="D54" s="98"/>
      <c r="E54" s="98"/>
      <c r="F54" s="99"/>
      <c r="G54" s="87"/>
      <c r="H54" s="87"/>
      <c r="I54" s="87"/>
      <c r="J54" s="87"/>
      <c r="K54" s="87"/>
      <c r="L54" s="100">
        <f t="shared" si="1"/>
        <v>0</v>
      </c>
      <c r="M54" s="100">
        <f t="shared" si="2"/>
        <v>0</v>
      </c>
      <c r="N54" s="101"/>
    </row>
    <row r="55" s="27" customFormat="1" ht="19.95" customHeight="1" spans="1:14">
      <c r="A55" s="84"/>
      <c r="B55" s="85">
        <v>17</v>
      </c>
      <c r="C55" s="98">
        <f t="shared" si="0"/>
        <v>0</v>
      </c>
      <c r="D55" s="98"/>
      <c r="E55" s="98"/>
      <c r="F55" s="99"/>
      <c r="G55" s="87"/>
      <c r="H55" s="87"/>
      <c r="I55" s="87"/>
      <c r="J55" s="87"/>
      <c r="K55" s="87"/>
      <c r="L55" s="100">
        <f t="shared" si="1"/>
        <v>0</v>
      </c>
      <c r="M55" s="100">
        <f t="shared" si="2"/>
        <v>0</v>
      </c>
      <c r="N55" s="101"/>
    </row>
    <row r="56" s="27" customFormat="1" ht="19.95" customHeight="1" spans="1:14">
      <c r="A56" s="84"/>
      <c r="B56" s="85">
        <v>18</v>
      </c>
      <c r="C56" s="98">
        <f t="shared" si="0"/>
        <v>0</v>
      </c>
      <c r="D56" s="98"/>
      <c r="E56" s="98"/>
      <c r="F56" s="99"/>
      <c r="G56" s="87"/>
      <c r="H56" s="87"/>
      <c r="I56" s="87"/>
      <c r="J56" s="87"/>
      <c r="K56" s="87"/>
      <c r="L56" s="100">
        <f t="shared" si="1"/>
        <v>0</v>
      </c>
      <c r="M56" s="100">
        <f t="shared" si="2"/>
        <v>0</v>
      </c>
      <c r="N56" s="101"/>
    </row>
    <row r="57" s="27" customFormat="1" ht="19.95" customHeight="1" spans="1:14">
      <c r="A57" s="84"/>
      <c r="B57" s="85">
        <v>19</v>
      </c>
      <c r="C57" s="98">
        <f t="shared" si="0"/>
        <v>0</v>
      </c>
      <c r="D57" s="98"/>
      <c r="E57" s="98"/>
      <c r="F57" s="99"/>
      <c r="G57" s="87"/>
      <c r="H57" s="87"/>
      <c r="I57" s="87"/>
      <c r="J57" s="87"/>
      <c r="K57" s="87"/>
      <c r="L57" s="100">
        <f t="shared" si="1"/>
        <v>0</v>
      </c>
      <c r="M57" s="100">
        <f t="shared" si="2"/>
        <v>0</v>
      </c>
      <c r="N57" s="101"/>
    </row>
    <row r="58" s="27" customFormat="1" ht="19.95" customHeight="1" spans="1:14">
      <c r="A58" s="84"/>
      <c r="B58" s="102">
        <v>20</v>
      </c>
      <c r="C58" s="103">
        <f t="shared" si="0"/>
        <v>0</v>
      </c>
      <c r="D58" s="103"/>
      <c r="E58" s="103"/>
      <c r="F58" s="99"/>
      <c r="G58" s="87"/>
      <c r="H58" s="87"/>
      <c r="I58" s="87"/>
      <c r="J58" s="87"/>
      <c r="K58" s="87"/>
      <c r="L58" s="100">
        <f t="shared" si="1"/>
        <v>0</v>
      </c>
      <c r="M58" s="100">
        <f t="shared" si="2"/>
        <v>0</v>
      </c>
      <c r="N58" s="101"/>
    </row>
    <row r="59" s="29" customFormat="1" ht="19.95" customHeight="1" spans="1:14">
      <c r="A59" s="104"/>
      <c r="B59" s="105" t="s">
        <v>45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7">
        <f>SUM(L39:L58)</f>
        <v>0</v>
      </c>
      <c r="M59" s="108">
        <f>SUM(M39:M58)</f>
        <v>0</v>
      </c>
      <c r="N59" s="109"/>
    </row>
    <row r="60" s="27" customFormat="1" ht="13.2" customHeight="1" spans="1:14">
      <c r="A60" s="84"/>
      <c r="B60" s="110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N60" s="112"/>
    </row>
    <row r="61" s="27" customFormat="1" ht="27" customHeight="1" spans="1:14">
      <c r="A61" s="84"/>
      <c r="B61" s="113" t="s">
        <v>46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5"/>
    </row>
    <row r="62" s="27" customFormat="1" ht="25.95" customHeight="1" spans="1:14">
      <c r="A62" s="84"/>
      <c r="B62" s="116" t="s">
        <v>47</v>
      </c>
      <c r="C62" s="117"/>
      <c r="D62" s="117"/>
      <c r="E62" s="118" t="str">
        <f>C17</f>
        <v>865865856</v>
      </c>
      <c r="F62" s="118"/>
      <c r="G62" s="118">
        <f>C18</f>
        <v>0</v>
      </c>
      <c r="H62" s="118"/>
      <c r="I62" s="118">
        <f>C19</f>
        <v>0</v>
      </c>
      <c r="J62" s="118"/>
      <c r="K62" s="118">
        <f>C20</f>
        <v>0</v>
      </c>
      <c r="L62" s="118"/>
      <c r="M62" s="118">
        <f>C21</f>
        <v>0</v>
      </c>
      <c r="N62" s="119"/>
    </row>
    <row r="63" s="27" customFormat="1" ht="19.95" customHeight="1" spans="1:14">
      <c r="A63" s="84"/>
      <c r="B63" s="120" t="s">
        <v>48</v>
      </c>
      <c r="C63" s="121"/>
      <c r="D63" s="121"/>
      <c r="E63" s="122">
        <v>500</v>
      </c>
      <c r="F63" s="123"/>
      <c r="G63" s="122">
        <f>I40*J40</f>
        <v>0</v>
      </c>
      <c r="H63" s="123"/>
      <c r="I63" s="122">
        <f>I41*J41</f>
        <v>0</v>
      </c>
      <c r="J63" s="123"/>
      <c r="K63" s="122">
        <f>I42*J42</f>
        <v>0</v>
      </c>
      <c r="L63" s="123"/>
      <c r="M63" s="124">
        <f>I43*J43</f>
        <v>0</v>
      </c>
      <c r="N63" s="125"/>
    </row>
    <row r="64" s="27" customFormat="1" ht="19.95" customHeight="1" spans="1:14">
      <c r="A64" s="84"/>
      <c r="B64" s="126" t="s">
        <v>49</v>
      </c>
      <c r="C64" s="127"/>
      <c r="D64" s="128"/>
      <c r="E64" s="129">
        <f>IF(E$63="","",IFERROR(VLOOKUP(LOOKUP(E$63,Option!$A$3:$A$15),Option!$A$3:$F$15,3,FALSE),""))</f>
        <v>50</v>
      </c>
      <c r="F64" s="129"/>
      <c r="G64" s="129" t="str">
        <f>IF(G$63="","",IFERROR(VLOOKUP(LOOKUP(G$63,Option!$A$3:$A$15),Option!$A$3:$F$15,3,FALSE),""))</f>
        <v/>
      </c>
      <c r="H64" s="129"/>
      <c r="I64" s="129" t="str">
        <f>IF(I$63="","",IFERROR(VLOOKUP(LOOKUP(I$63,Option!$A$3:$A$15),Option!$A$3:$F$15,3,FALSE),""))</f>
        <v/>
      </c>
      <c r="J64" s="129"/>
      <c r="K64" s="129" t="str">
        <f>IF(K$63="","",IFERROR(VLOOKUP(LOOKUP(K$63,Option!$A$3:$A$15),Option!$A$3:$F$15,3,FALSE),""))</f>
        <v/>
      </c>
      <c r="L64" s="129"/>
      <c r="M64" s="129" t="str">
        <f>IF(M$63="","",IFERROR(VLOOKUP(LOOKUP(M$63,Option!$A$3:$A$15),Option!$A$3:$F$15,3,FALSE),""))</f>
        <v/>
      </c>
      <c r="N64" s="130"/>
    </row>
    <row r="65" s="27" customFormat="1" ht="19.95" customHeight="1" spans="1:14">
      <c r="A65" s="84"/>
      <c r="B65" s="131" t="s">
        <v>50</v>
      </c>
      <c r="C65" s="132"/>
      <c r="D65" s="132"/>
      <c r="E65" s="129">
        <f>IF(E$63="","",IFERROR(VLOOKUP(LOOKUP(E$63,Option!$A$3:$A$15),Option!$A$3:$F$15,4,FALSE),""))</f>
        <v>0</v>
      </c>
      <c r="F65" s="129"/>
      <c r="G65" s="129" t="str">
        <f>IF(G$63="","",IFERROR(VLOOKUP(LOOKUP(G$63,Option!$A$3:$A$15),Option!$A$3:$F$15,4,FALSE),""))</f>
        <v/>
      </c>
      <c r="H65" s="129"/>
      <c r="I65" s="129" t="str">
        <f>IF(I$63="","",IFERROR(VLOOKUP(LOOKUP(I$63,Option!$A$3:$A$15),Option!$A$3:$F$15,4,FALSE),""))</f>
        <v/>
      </c>
      <c r="J65" s="129"/>
      <c r="K65" s="129" t="str">
        <f>IF(K$63="","",IFERROR(VLOOKUP(LOOKUP(K$63,Option!$A$3:$A$15),Option!$A$3:$F$15,4,FALSE),""))</f>
        <v/>
      </c>
      <c r="L65" s="129"/>
      <c r="M65" s="129" t="str">
        <f>IF(M$63="","",IFERROR(VLOOKUP(LOOKUP(M$63,Option!$A$3:$A$15),Option!$A$3:$F$15,4,FALSE),""))</f>
        <v/>
      </c>
      <c r="N65" s="130"/>
    </row>
    <row r="66" s="27" customFormat="1" ht="19.95" customHeight="1" spans="1:14">
      <c r="A66" s="84"/>
      <c r="B66" s="131" t="s">
        <v>51</v>
      </c>
      <c r="C66" s="132"/>
      <c r="D66" s="132"/>
      <c r="E66" s="129">
        <f>IF(E$63="","",IFERROR(VLOOKUP(LOOKUP(E$63,Option!$A$3:$A$15),Option!$A$3:$F$15,5,FALSE),""))</f>
        <v>2</v>
      </c>
      <c r="F66" s="129"/>
      <c r="G66" s="129" t="str">
        <f>IF(G$63="","",IFERROR(VLOOKUP(LOOKUP(G$63,Option!$A$3:$A$15),Option!$A$3:$F$15,5,FALSE),""))</f>
        <v/>
      </c>
      <c r="H66" s="129"/>
      <c r="I66" s="129" t="str">
        <f>IF(I$63="","",IFERROR(VLOOKUP(LOOKUP(I$63,Option!$A$3:$A$15),Option!$A$3:$F$15,5,FALSE),""))</f>
        <v/>
      </c>
      <c r="J66" s="129"/>
      <c r="K66" s="129" t="str">
        <f>IF(K$63="","",IFERROR(VLOOKUP(LOOKUP(K$63,Option!$A$3:$A$15),Option!$A$3:$F$15,5,FALSE),""))</f>
        <v/>
      </c>
      <c r="L66" s="129"/>
      <c r="M66" s="129" t="str">
        <f>IF(M$63="","",IFERROR(VLOOKUP(LOOKUP(M$63,Option!$A$3:$A$15),Option!$A$3:$F$15,5,FALSE),""))</f>
        <v/>
      </c>
      <c r="N66" s="130"/>
    </row>
    <row r="67" s="27" customFormat="1" ht="19.95" customHeight="1" spans="1:14">
      <c r="A67" s="84"/>
      <c r="B67" s="131" t="s">
        <v>52</v>
      </c>
      <c r="C67" s="132"/>
      <c r="D67" s="132"/>
      <c r="E67" s="129">
        <f>IF(E$63="","",IFERROR(VLOOKUP(LOOKUP(E$63,Option!$A$3:$A$15),Option!$A$3:$F$15,6,FALSE),""))</f>
        <v>5</v>
      </c>
      <c r="F67" s="129"/>
      <c r="G67" s="129" t="str">
        <f>IF(G$63="","",IFERROR(VLOOKUP(LOOKUP(G$63,Option!$A$3:$A$15),Option!$A$3:$F$15,6,FALSE),""))</f>
        <v/>
      </c>
      <c r="H67" s="129"/>
      <c r="I67" s="129" t="str">
        <f>IF(I$63="","",IFERROR(VLOOKUP(LOOKUP(I$63,Option!$A$3:$A$15),Option!$A$3:$F$15,6,FALSE),""))</f>
        <v/>
      </c>
      <c r="J67" s="129"/>
      <c r="K67" s="129" t="str">
        <f>IF(K$63="","",IFERROR(VLOOKUP(LOOKUP(K$63,Option!$A$3:$A$15),Option!$A$3:$F$15,6,FALSE),""))</f>
        <v/>
      </c>
      <c r="L67" s="129"/>
      <c r="M67" s="129" t="str">
        <f>IF(M$63="","",IFERROR(VLOOKUP(LOOKUP(M$63,Option!$A$3:$A$15),Option!$A$3:$F$15,6,FALSE),""))</f>
        <v/>
      </c>
      <c r="N67" s="130"/>
    </row>
    <row r="68" s="27" customFormat="1" ht="19.95" customHeight="1" spans="1:14">
      <c r="A68" s="84"/>
      <c r="B68" s="133" t="s">
        <v>53</v>
      </c>
      <c r="C68" s="134" t="s">
        <v>54</v>
      </c>
      <c r="D68" s="135"/>
      <c r="E68" s="136">
        <v>3</v>
      </c>
      <c r="F68" s="137"/>
      <c r="G68" s="136"/>
      <c r="H68" s="137"/>
      <c r="I68" s="136"/>
      <c r="J68" s="137"/>
      <c r="K68" s="136"/>
      <c r="L68" s="137"/>
      <c r="M68" s="138"/>
      <c r="N68" s="139"/>
    </row>
    <row r="69" s="27" customFormat="1" ht="19.95" customHeight="1" spans="1:14">
      <c r="A69" s="84"/>
      <c r="B69" s="140"/>
      <c r="C69" s="134" t="s">
        <v>55</v>
      </c>
      <c r="D69" s="135"/>
      <c r="E69" s="136">
        <v>2</v>
      </c>
      <c r="F69" s="137"/>
      <c r="G69" s="136"/>
      <c r="H69" s="137"/>
      <c r="I69" s="136"/>
      <c r="J69" s="137"/>
      <c r="K69" s="136"/>
      <c r="L69" s="137"/>
      <c r="M69" s="138"/>
      <c r="N69" s="139"/>
    </row>
    <row r="70" s="27" customFormat="1" ht="19.95" customHeight="1" spans="1:14">
      <c r="A70" s="84"/>
      <c r="B70" s="140"/>
      <c r="C70" s="134"/>
      <c r="D70" s="135"/>
      <c r="E70" s="136"/>
      <c r="F70" s="137"/>
      <c r="G70" s="136"/>
      <c r="H70" s="137"/>
      <c r="I70" s="136"/>
      <c r="J70" s="137"/>
      <c r="K70" s="136"/>
      <c r="L70" s="137"/>
      <c r="M70" s="138"/>
      <c r="N70" s="139"/>
    </row>
    <row r="71" s="27" customFormat="1" ht="19.95" customHeight="1" spans="1:14">
      <c r="A71" s="84"/>
      <c r="B71" s="140"/>
      <c r="C71" s="134"/>
      <c r="D71" s="135"/>
      <c r="E71" s="136"/>
      <c r="F71" s="137"/>
      <c r="G71" s="136"/>
      <c r="H71" s="137"/>
      <c r="I71" s="136"/>
      <c r="J71" s="137"/>
      <c r="K71" s="136"/>
      <c r="L71" s="137"/>
      <c r="M71" s="138"/>
      <c r="N71" s="139"/>
    </row>
    <row r="72" s="27" customFormat="1" ht="19.95" customHeight="1" spans="1:14">
      <c r="A72" s="84"/>
      <c r="B72" s="140"/>
      <c r="C72" s="134"/>
      <c r="D72" s="135"/>
      <c r="E72" s="136"/>
      <c r="F72" s="137"/>
      <c r="G72" s="136"/>
      <c r="H72" s="137"/>
      <c r="I72" s="136"/>
      <c r="J72" s="137"/>
      <c r="K72" s="136"/>
      <c r="L72" s="137"/>
      <c r="M72" s="138"/>
      <c r="N72" s="139"/>
    </row>
    <row r="73" s="27" customFormat="1" ht="19.95" customHeight="1" spans="1:14">
      <c r="A73" s="141"/>
      <c r="B73" s="140"/>
      <c r="C73" s="134"/>
      <c r="D73" s="135"/>
      <c r="E73" s="136"/>
      <c r="F73" s="137"/>
      <c r="G73" s="136"/>
      <c r="H73" s="137"/>
      <c r="I73" s="136"/>
      <c r="J73" s="137"/>
      <c r="K73" s="136"/>
      <c r="L73" s="137"/>
      <c r="M73" s="138"/>
      <c r="N73" s="139"/>
    </row>
    <row r="74" s="27" customFormat="1" ht="19.95" customHeight="1" spans="1:14">
      <c r="A74" s="141"/>
      <c r="B74" s="140"/>
      <c r="C74" s="134"/>
      <c r="D74" s="135"/>
      <c r="E74" s="136"/>
      <c r="F74" s="137"/>
      <c r="G74" s="136"/>
      <c r="H74" s="137"/>
      <c r="I74" s="136"/>
      <c r="J74" s="137"/>
      <c r="K74" s="136"/>
      <c r="L74" s="137"/>
      <c r="M74" s="138"/>
      <c r="N74" s="139"/>
    </row>
    <row r="75" s="27" customFormat="1" ht="19.95" customHeight="1" spans="1:14">
      <c r="A75" s="141"/>
      <c r="B75" s="140"/>
      <c r="C75" s="134"/>
      <c r="D75" s="135"/>
      <c r="E75" s="136"/>
      <c r="F75" s="137"/>
      <c r="G75" s="136"/>
      <c r="H75" s="137"/>
      <c r="I75" s="136"/>
      <c r="J75" s="137"/>
      <c r="K75" s="136"/>
      <c r="L75" s="137"/>
      <c r="M75" s="138"/>
      <c r="N75" s="139"/>
    </row>
    <row r="76" s="27" customFormat="1" ht="19.95" customHeight="1" spans="1:14">
      <c r="A76" s="141"/>
      <c r="B76" s="140"/>
      <c r="C76" s="134"/>
      <c r="D76" s="135"/>
      <c r="E76" s="136"/>
      <c r="F76" s="137"/>
      <c r="G76" s="136"/>
      <c r="H76" s="137"/>
      <c r="I76" s="136"/>
      <c r="J76" s="137"/>
      <c r="K76" s="136"/>
      <c r="L76" s="137"/>
      <c r="M76" s="138"/>
      <c r="N76" s="139"/>
    </row>
    <row r="77" s="27" customFormat="1" ht="19.95" customHeight="1" spans="1:14">
      <c r="A77" s="141"/>
      <c r="B77" s="140"/>
      <c r="C77" s="134"/>
      <c r="D77" s="135"/>
      <c r="E77" s="136"/>
      <c r="F77" s="137"/>
      <c r="G77" s="136"/>
      <c r="H77" s="137"/>
      <c r="I77" s="136"/>
      <c r="J77" s="137"/>
      <c r="K77" s="136"/>
      <c r="L77" s="137"/>
      <c r="M77" s="138"/>
      <c r="N77" s="139"/>
    </row>
    <row r="78" s="27" customFormat="1" ht="19.95" customHeight="1" spans="1:14">
      <c r="A78" s="84"/>
      <c r="B78" s="140" t="s">
        <v>56</v>
      </c>
      <c r="C78" s="142" t="s">
        <v>57</v>
      </c>
      <c r="D78" s="142"/>
      <c r="E78" s="99"/>
      <c r="F78" s="99"/>
      <c r="G78" s="99"/>
      <c r="H78" s="99"/>
      <c r="I78" s="99"/>
      <c r="J78" s="99"/>
      <c r="K78" s="99"/>
      <c r="L78" s="99"/>
      <c r="M78" s="138"/>
      <c r="N78" s="139"/>
    </row>
    <row r="79" s="27" customFormat="1" ht="19.95" customHeight="1" spans="1:14">
      <c r="A79" s="84"/>
      <c r="B79" s="140"/>
      <c r="C79" s="142" t="s">
        <v>58</v>
      </c>
      <c r="D79" s="142"/>
      <c r="E79" s="99"/>
      <c r="F79" s="99"/>
      <c r="G79" s="99"/>
      <c r="H79" s="99"/>
      <c r="I79" s="99"/>
      <c r="J79" s="99"/>
      <c r="K79" s="99"/>
      <c r="L79" s="99"/>
      <c r="M79" s="138"/>
      <c r="N79" s="139"/>
    </row>
    <row r="80" s="27" customFormat="1" ht="19.95" customHeight="1" spans="1:14">
      <c r="A80" s="84"/>
      <c r="B80" s="140"/>
      <c r="C80" s="142" t="s">
        <v>59</v>
      </c>
      <c r="D80" s="142"/>
      <c r="E80" s="99">
        <v>5</v>
      </c>
      <c r="F80" s="99"/>
      <c r="G80" s="99"/>
      <c r="H80" s="99"/>
      <c r="I80" s="99"/>
      <c r="J80" s="99"/>
      <c r="K80" s="99"/>
      <c r="L80" s="99"/>
      <c r="M80" s="143"/>
      <c r="N80" s="144"/>
    </row>
    <row r="81" s="27" customFormat="1" ht="19.95" customHeight="1" spans="1:14">
      <c r="A81" s="84"/>
      <c r="B81" s="140"/>
      <c r="C81" s="142" t="s">
        <v>60</v>
      </c>
      <c r="D81" s="145"/>
      <c r="E81" s="99" t="s">
        <v>25</v>
      </c>
      <c r="F81" s="99"/>
      <c r="G81" s="99"/>
      <c r="H81" s="99"/>
      <c r="I81" s="99"/>
      <c r="J81" s="99"/>
      <c r="K81" s="99"/>
      <c r="L81" s="99"/>
      <c r="M81" s="99"/>
      <c r="N81" s="146"/>
    </row>
    <row r="82" s="27" customFormat="1" ht="19.95" customHeight="1" spans="1:14">
      <c r="A82" s="84"/>
      <c r="B82" s="147" t="s">
        <v>61</v>
      </c>
      <c r="C82" s="148" t="s">
        <v>62</v>
      </c>
      <c r="D82" s="149"/>
      <c r="E82" s="99" t="s">
        <v>63</v>
      </c>
      <c r="F82" s="99"/>
      <c r="G82" s="99"/>
      <c r="H82" s="99"/>
      <c r="I82" s="99"/>
      <c r="J82" s="99"/>
      <c r="K82" s="99"/>
      <c r="L82" s="99"/>
      <c r="M82" s="99"/>
      <c r="N82" s="146"/>
    </row>
    <row r="83" s="27" customFormat="1" ht="61.95" customHeight="1" spans="1:14">
      <c r="A83" s="150"/>
      <c r="B83" s="151" t="s">
        <v>64</v>
      </c>
      <c r="C83" s="152" t="s">
        <v>65</v>
      </c>
      <c r="D83" s="152"/>
      <c r="E83" s="153"/>
      <c r="F83" s="153"/>
      <c r="G83" s="153"/>
      <c r="H83" s="153"/>
      <c r="I83" s="153"/>
      <c r="J83" s="153"/>
      <c r="K83" s="153"/>
      <c r="L83" s="153"/>
      <c r="M83" s="154"/>
      <c r="N83" s="155"/>
    </row>
    <row r="84" s="27" customFormat="1" ht="16.05" customHeight="1" spans="1:14">
      <c r="B84" s="156" t="s">
        <v>46</v>
      </c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8"/>
    </row>
    <row r="85" s="27" customFormat="1" ht="25.95" customHeight="1" spans="1:14">
      <c r="A85" s="64"/>
      <c r="B85" s="159" t="s">
        <v>66</v>
      </c>
      <c r="C85" s="160"/>
      <c r="D85" s="161"/>
      <c r="E85" s="162">
        <f>C22</f>
        <v>0</v>
      </c>
      <c r="F85" s="163"/>
      <c r="G85" s="162">
        <f>C23</f>
        <v>0</v>
      </c>
      <c r="H85" s="163"/>
      <c r="I85" s="162">
        <f>C24</f>
        <v>0</v>
      </c>
      <c r="J85" s="163"/>
      <c r="K85" s="162">
        <f>C25</f>
        <v>0</v>
      </c>
      <c r="L85" s="163"/>
      <c r="M85" s="162">
        <f>C26</f>
        <v>0</v>
      </c>
      <c r="N85" s="164"/>
    </row>
    <row r="86" s="27" customFormat="1" ht="19.95" customHeight="1" spans="1:14">
      <c r="A86" s="64"/>
      <c r="B86" s="165" t="s">
        <v>48</v>
      </c>
      <c r="C86" s="166"/>
      <c r="D86" s="166"/>
      <c r="E86" s="167">
        <f>I44*J44</f>
        <v>0</v>
      </c>
      <c r="F86" s="168"/>
      <c r="G86" s="167">
        <f>I45*J45</f>
        <v>0</v>
      </c>
      <c r="H86" s="168"/>
      <c r="I86" s="167">
        <f>I46*J46</f>
        <v>0</v>
      </c>
      <c r="J86" s="168"/>
      <c r="K86" s="167">
        <f>I47*J47</f>
        <v>0</v>
      </c>
      <c r="L86" s="168"/>
      <c r="M86" s="169">
        <f>I48*J48</f>
        <v>0</v>
      </c>
      <c r="N86" s="170"/>
    </row>
    <row r="87" s="27" customFormat="1" ht="19.95" customHeight="1" spans="1:14">
      <c r="A87" s="64"/>
      <c r="B87" s="126" t="s">
        <v>49</v>
      </c>
      <c r="C87" s="127"/>
      <c r="D87" s="128"/>
      <c r="E87" s="129" t="str">
        <f>IF(E$86="","",IFERROR(VLOOKUP(LOOKUP(E$86,Option!$A$3:$A$15),Option!$A$3:$F$15,3,FALSE),""))</f>
        <v/>
      </c>
      <c r="F87" s="129"/>
      <c r="G87" s="129" t="str">
        <f>IF(G$86="","",IFERROR(VLOOKUP(LOOKUP(G$86,Option!$A$3:$A$15),Option!$A$3:$F$15,3,FALSE),""))</f>
        <v/>
      </c>
      <c r="H87" s="129"/>
      <c r="I87" s="129" t="str">
        <f>IF(I$86="","",IFERROR(VLOOKUP(LOOKUP(I$86,Option!$A$3:$A$15),Option!$A$3:$F$15,3,FALSE),""))</f>
        <v/>
      </c>
      <c r="J87" s="129"/>
      <c r="K87" s="129" t="str">
        <f>IF(K$86="","",IFERROR(VLOOKUP(LOOKUP(K$86,Option!$A$3:$A$15),Option!$A$3:$F$15,3,FALSE),""))</f>
        <v/>
      </c>
      <c r="L87" s="129"/>
      <c r="M87" s="129" t="str">
        <f>IF(M$86="","",IFERROR(VLOOKUP(LOOKUP(M$86,Option!$A$3:$A$15),Option!$A$3:$F$15,3,FALSE),""))</f>
        <v/>
      </c>
      <c r="N87" s="130"/>
    </row>
    <row r="88" s="27" customFormat="1" ht="19.95" customHeight="1" spans="1:14">
      <c r="A88" s="64"/>
      <c r="B88" s="131" t="s">
        <v>50</v>
      </c>
      <c r="C88" s="132"/>
      <c r="D88" s="132"/>
      <c r="E88" s="129" t="str">
        <f>IF(E$86="","",IFERROR(VLOOKUP(LOOKUP(E$86,Option!$A$3:$A$15),Option!$A$3:$F$15,4,FALSE),""))</f>
        <v/>
      </c>
      <c r="F88" s="129"/>
      <c r="G88" s="129" t="str">
        <f>IF(G$86="","",IFERROR(VLOOKUP(LOOKUP(G$86,Option!$A$3:$A$15),Option!$A$3:$F$15,4,FALSE),""))</f>
        <v/>
      </c>
      <c r="H88" s="129"/>
      <c r="I88" s="129" t="str">
        <f>IF(I$86="","",IFERROR(VLOOKUP(LOOKUP(I$86,Option!$A$3:$A$15),Option!$A$3:$F$15,4,FALSE),""))</f>
        <v/>
      </c>
      <c r="J88" s="129"/>
      <c r="K88" s="129" t="str">
        <f>IF(K$86="","",IFERROR(VLOOKUP(LOOKUP(K$86,Option!$A$3:$A$15),Option!$A$3:$F$15,4,FALSE),""))</f>
        <v/>
      </c>
      <c r="L88" s="129"/>
      <c r="M88" s="129" t="str">
        <f>IF(M$86="","",IFERROR(VLOOKUP(LOOKUP(M$86,Option!$A$3:$A$15),Option!$A$3:$F$15,4,FALSE),""))</f>
        <v/>
      </c>
      <c r="N88" s="130"/>
    </row>
    <row r="89" s="27" customFormat="1" ht="19.95" customHeight="1" spans="1:14">
      <c r="A89" s="64"/>
      <c r="B89" s="131" t="s">
        <v>51</v>
      </c>
      <c r="C89" s="132"/>
      <c r="D89" s="132"/>
      <c r="E89" s="129" t="str">
        <f>IF(E$86="","",IFERROR(VLOOKUP(LOOKUP(E$86,Option!$A$3:$A$15),Option!$A$3:$F$15,5,FALSE),""))</f>
        <v/>
      </c>
      <c r="F89" s="129"/>
      <c r="G89" s="129" t="str">
        <f>IF(G$86="","",IFERROR(VLOOKUP(LOOKUP(G$86,Option!$A$3:$A$15),Option!$A$3:$F$15,5,FALSE),""))</f>
        <v/>
      </c>
      <c r="H89" s="129"/>
      <c r="I89" s="129" t="str">
        <f>IF(I$86="","",IFERROR(VLOOKUP(LOOKUP(I$86,Option!$A$3:$A$15),Option!$A$3:$F$15,5,FALSE),""))</f>
        <v/>
      </c>
      <c r="J89" s="129"/>
      <c r="K89" s="129" t="str">
        <f>IF(K$86="","",IFERROR(VLOOKUP(LOOKUP(K$86,Option!$A$3:$A$15),Option!$A$3:$F$15,5,FALSE),""))</f>
        <v/>
      </c>
      <c r="L89" s="129"/>
      <c r="M89" s="129" t="str">
        <f>IF(M$86="","",IFERROR(VLOOKUP(LOOKUP(M$86,Option!$A$3:$A$15),Option!$A$3:$F$15,5,FALSE),""))</f>
        <v/>
      </c>
      <c r="N89" s="130"/>
    </row>
    <row r="90" s="27" customFormat="1" ht="19.95" customHeight="1" spans="1:14">
      <c r="A90" s="64"/>
      <c r="B90" s="131" t="s">
        <v>52</v>
      </c>
      <c r="C90" s="132"/>
      <c r="D90" s="132"/>
      <c r="E90" s="129" t="str">
        <f>IF(E$86="","",IFERROR(VLOOKUP(LOOKUP(E$86,Option!$A$3:$A$15),Option!$A$3:$F$15,6,FALSE),""))</f>
        <v/>
      </c>
      <c r="F90" s="129"/>
      <c r="G90" s="129" t="str">
        <f>IF(G$86="","",IFERROR(VLOOKUP(LOOKUP(G$86,Option!$A$3:$A$15),Option!$A$3:$F$15,6,FALSE),""))</f>
        <v/>
      </c>
      <c r="H90" s="129"/>
      <c r="I90" s="129" t="str">
        <f>IF(I$86="","",IFERROR(VLOOKUP(LOOKUP(I$86,Option!$A$3:$A$15),Option!$A$3:$F$15,6,FALSE),""))</f>
        <v/>
      </c>
      <c r="J90" s="129"/>
      <c r="K90" s="129" t="str">
        <f>IF(K$86="","",IFERROR(VLOOKUP(LOOKUP(K$86,Option!$A$3:$A$15),Option!$A$3:$F$15,6,FALSE),""))</f>
        <v/>
      </c>
      <c r="L90" s="129"/>
      <c r="M90" s="129" t="str">
        <f>IF(M$86="","",IFERROR(VLOOKUP(LOOKUP(M$86,Option!$A$3:$A$15),Option!$A$3:$F$15,6,FALSE),""))</f>
        <v/>
      </c>
      <c r="N90" s="130"/>
    </row>
    <row r="91" s="27" customFormat="1" ht="19.95" customHeight="1" spans="1:14">
      <c r="A91" s="64"/>
      <c r="B91" s="133" t="s">
        <v>53</v>
      </c>
      <c r="C91" s="134"/>
      <c r="D91" s="135"/>
      <c r="E91" s="136"/>
      <c r="F91" s="137"/>
      <c r="G91" s="136"/>
      <c r="H91" s="137"/>
      <c r="I91" s="136"/>
      <c r="J91" s="137"/>
      <c r="K91" s="136"/>
      <c r="L91" s="137"/>
      <c r="M91" s="138"/>
      <c r="N91" s="139"/>
    </row>
    <row r="92" s="27" customFormat="1" ht="19.95" customHeight="1" spans="1:14">
      <c r="A92" s="64"/>
      <c r="B92" s="140"/>
      <c r="C92" s="134"/>
      <c r="D92" s="135"/>
      <c r="E92" s="136"/>
      <c r="F92" s="137"/>
      <c r="G92" s="136"/>
      <c r="H92" s="137"/>
      <c r="I92" s="136"/>
      <c r="J92" s="137"/>
      <c r="K92" s="136"/>
      <c r="L92" s="137"/>
      <c r="M92" s="138"/>
      <c r="N92" s="139"/>
    </row>
    <row r="93" s="27" customFormat="1" ht="19.95" customHeight="1" spans="1:14">
      <c r="A93" s="64"/>
      <c r="B93" s="140"/>
      <c r="C93" s="134"/>
      <c r="D93" s="135"/>
      <c r="E93" s="136"/>
      <c r="F93" s="137"/>
      <c r="G93" s="136"/>
      <c r="H93" s="137"/>
      <c r="I93" s="136"/>
      <c r="J93" s="137"/>
      <c r="K93" s="136"/>
      <c r="L93" s="137"/>
      <c r="M93" s="138"/>
      <c r="N93" s="139"/>
    </row>
    <row r="94" s="27" customFormat="1" ht="19.95" customHeight="1" spans="1:14">
      <c r="A94" s="64"/>
      <c r="B94" s="140"/>
      <c r="C94" s="171"/>
      <c r="D94" s="171"/>
      <c r="E94" s="136"/>
      <c r="F94" s="137"/>
      <c r="G94" s="136"/>
      <c r="H94" s="137"/>
      <c r="I94" s="136"/>
      <c r="J94" s="137"/>
      <c r="K94" s="136"/>
      <c r="L94" s="137"/>
      <c r="M94" s="138"/>
      <c r="N94" s="139"/>
    </row>
    <row r="95" s="27" customFormat="1" ht="19.95" customHeight="1" spans="1:14">
      <c r="A95" s="64"/>
      <c r="B95" s="140"/>
      <c r="C95" s="134"/>
      <c r="D95" s="135"/>
      <c r="E95" s="136"/>
      <c r="F95" s="137"/>
      <c r="G95" s="136"/>
      <c r="H95" s="137"/>
      <c r="I95" s="136"/>
      <c r="J95" s="137"/>
      <c r="K95" s="136"/>
      <c r="L95" s="137"/>
      <c r="M95" s="138"/>
      <c r="N95" s="139"/>
    </row>
    <row r="96" s="27" customFormat="1" ht="19.95" customHeight="1" spans="1:14">
      <c r="A96" s="171"/>
      <c r="B96" s="140"/>
      <c r="C96" s="134"/>
      <c r="D96" s="135"/>
      <c r="E96" s="136"/>
      <c r="F96" s="137"/>
      <c r="G96" s="136"/>
      <c r="H96" s="137"/>
      <c r="I96" s="136"/>
      <c r="J96" s="137"/>
      <c r="K96" s="136"/>
      <c r="L96" s="137"/>
      <c r="M96" s="138"/>
      <c r="N96" s="139"/>
    </row>
    <row r="97" s="27" customFormat="1" ht="19.95" customHeight="1" spans="1:14">
      <c r="A97" s="171"/>
      <c r="B97" s="140"/>
      <c r="C97" s="134"/>
      <c r="D97" s="135"/>
      <c r="E97" s="136"/>
      <c r="F97" s="137"/>
      <c r="G97" s="136"/>
      <c r="H97" s="137"/>
      <c r="I97" s="136"/>
      <c r="J97" s="137"/>
      <c r="K97" s="136"/>
      <c r="L97" s="137"/>
      <c r="M97" s="138"/>
      <c r="N97" s="139"/>
    </row>
    <row r="98" s="27" customFormat="1" ht="19.95" customHeight="1" spans="1:14">
      <c r="A98" s="171"/>
      <c r="B98" s="140"/>
      <c r="C98" s="134"/>
      <c r="D98" s="135"/>
      <c r="E98" s="136"/>
      <c r="F98" s="137"/>
      <c r="G98" s="136"/>
      <c r="H98" s="137"/>
      <c r="I98" s="136"/>
      <c r="J98" s="137"/>
      <c r="K98" s="136"/>
      <c r="L98" s="137"/>
      <c r="M98" s="138"/>
      <c r="N98" s="139"/>
    </row>
    <row r="99" s="27" customFormat="1" ht="19.95" customHeight="1" spans="1:14">
      <c r="A99" s="171"/>
      <c r="B99" s="140"/>
      <c r="C99" s="134"/>
      <c r="D99" s="135"/>
      <c r="E99" s="136"/>
      <c r="F99" s="137"/>
      <c r="G99" s="136"/>
      <c r="H99" s="137"/>
      <c r="I99" s="136"/>
      <c r="J99" s="137"/>
      <c r="K99" s="136"/>
      <c r="L99" s="137"/>
      <c r="M99" s="138"/>
      <c r="N99" s="139"/>
    </row>
    <row r="100" s="27" customFormat="1" ht="19.95" customHeight="1" spans="1:14">
      <c r="A100" s="171"/>
      <c r="B100" s="140"/>
      <c r="C100" s="134"/>
      <c r="D100" s="135"/>
      <c r="E100" s="136"/>
      <c r="F100" s="137"/>
      <c r="G100" s="136"/>
      <c r="H100" s="137"/>
      <c r="I100" s="136"/>
      <c r="J100" s="137"/>
      <c r="K100" s="136"/>
      <c r="L100" s="137"/>
      <c r="M100" s="138"/>
      <c r="N100" s="139"/>
    </row>
    <row r="101" s="27" customFormat="1" ht="19.95" customHeight="1" spans="1:14">
      <c r="B101" s="140" t="s">
        <v>56</v>
      </c>
      <c r="C101" s="142" t="s">
        <v>57</v>
      </c>
      <c r="D101" s="142"/>
      <c r="E101" s="99"/>
      <c r="F101" s="99"/>
      <c r="G101" s="99"/>
      <c r="H101" s="99"/>
      <c r="I101" s="99"/>
      <c r="J101" s="99"/>
      <c r="K101" s="99"/>
      <c r="L101" s="99"/>
      <c r="M101" s="138"/>
      <c r="N101" s="139"/>
    </row>
    <row r="102" s="27" customFormat="1" ht="19.95" customHeight="1" spans="1:14">
      <c r="A102" s="64"/>
      <c r="B102" s="140"/>
      <c r="C102" s="142" t="s">
        <v>58</v>
      </c>
      <c r="D102" s="142"/>
      <c r="E102" s="99"/>
      <c r="F102" s="99"/>
      <c r="G102" s="99"/>
      <c r="H102" s="99"/>
      <c r="I102" s="99"/>
      <c r="J102" s="99"/>
      <c r="K102" s="99"/>
      <c r="L102" s="99"/>
      <c r="M102" s="138"/>
      <c r="N102" s="139"/>
    </row>
    <row r="103" s="27" customFormat="1" ht="19.95" customHeight="1" spans="1:14">
      <c r="A103" s="64"/>
      <c r="B103" s="140"/>
      <c r="C103" s="142" t="s">
        <v>59</v>
      </c>
      <c r="D103" s="142"/>
      <c r="E103" s="99"/>
      <c r="F103" s="99"/>
      <c r="G103" s="99"/>
      <c r="H103" s="99"/>
      <c r="I103" s="99"/>
      <c r="J103" s="99"/>
      <c r="K103" s="99"/>
      <c r="L103" s="99"/>
      <c r="M103" s="138"/>
      <c r="N103" s="139"/>
    </row>
    <row r="104" s="27" customFormat="1" ht="19.95" customHeight="1" spans="1:14">
      <c r="A104" s="64"/>
      <c r="B104" s="140"/>
      <c r="C104" s="142" t="s">
        <v>60</v>
      </c>
      <c r="D104" s="142"/>
      <c r="E104" s="99"/>
      <c r="F104" s="99"/>
      <c r="G104" s="99"/>
      <c r="H104" s="99"/>
      <c r="I104" s="99"/>
      <c r="J104" s="99"/>
      <c r="K104" s="99"/>
      <c r="L104" s="99"/>
      <c r="M104" s="99"/>
      <c r="N104" s="146"/>
    </row>
    <row r="105" s="27" customFormat="1" ht="19.95" customHeight="1" spans="1:14">
      <c r="B105" s="147" t="s">
        <v>61</v>
      </c>
      <c r="C105" s="148" t="s">
        <v>62</v>
      </c>
      <c r="D105" s="149"/>
      <c r="E105" s="99"/>
      <c r="F105" s="99"/>
      <c r="G105" s="99"/>
      <c r="H105" s="99"/>
      <c r="I105" s="99"/>
      <c r="J105" s="99"/>
      <c r="K105" s="99"/>
      <c r="L105" s="99"/>
      <c r="M105" s="99"/>
      <c r="N105" s="146"/>
    </row>
    <row r="106" s="27" customFormat="1" ht="61.95" customHeight="1" spans="1:14">
      <c r="B106" s="151" t="s">
        <v>64</v>
      </c>
      <c r="C106" s="152" t="s">
        <v>65</v>
      </c>
      <c r="D106" s="152"/>
      <c r="E106" s="172"/>
      <c r="F106" s="172"/>
      <c r="G106" s="172"/>
      <c r="H106" s="172"/>
      <c r="I106" s="172"/>
      <c r="J106" s="172"/>
      <c r="K106" s="172"/>
      <c r="L106" s="172"/>
      <c r="M106" s="173"/>
      <c r="N106" s="174"/>
    </row>
    <row r="107" s="27" customFormat="1" ht="16.05" customHeight="1" spans="1:14">
      <c r="B107" s="105" t="s">
        <v>46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75"/>
    </row>
    <row r="108" s="30" customFormat="1" ht="25.95" customHeight="1" spans="1:14">
      <c r="A108" s="176"/>
      <c r="B108" s="177" t="s">
        <v>67</v>
      </c>
      <c r="C108" s="178"/>
      <c r="D108" s="178"/>
      <c r="E108" s="179">
        <f>C27</f>
        <v>0</v>
      </c>
      <c r="F108" s="179"/>
      <c r="G108" s="179">
        <f>C28</f>
        <v>0</v>
      </c>
      <c r="H108" s="179"/>
      <c r="I108" s="179">
        <f>C29</f>
        <v>0</v>
      </c>
      <c r="J108" s="179"/>
      <c r="K108" s="179">
        <f>C30</f>
        <v>0</v>
      </c>
      <c r="L108" s="179"/>
      <c r="M108" s="179">
        <f>C31</f>
        <v>0</v>
      </c>
      <c r="N108" s="180"/>
    </row>
    <row r="109" s="27" customFormat="1" ht="19.95" customHeight="1" spans="1:14">
      <c r="A109" s="64"/>
      <c r="B109" s="165" t="s">
        <v>48</v>
      </c>
      <c r="C109" s="166"/>
      <c r="D109" s="166"/>
      <c r="E109" s="167">
        <f>I49*J49</f>
        <v>0</v>
      </c>
      <c r="F109" s="168"/>
      <c r="G109" s="167">
        <f>I50*J50</f>
        <v>0</v>
      </c>
      <c r="H109" s="168"/>
      <c r="I109" s="167">
        <f>I51*J51</f>
        <v>0</v>
      </c>
      <c r="J109" s="168"/>
      <c r="K109" s="167">
        <f>I52*J52</f>
        <v>0</v>
      </c>
      <c r="L109" s="168"/>
      <c r="M109" s="169">
        <f>I53*J53</f>
        <v>0</v>
      </c>
      <c r="N109" s="170"/>
    </row>
    <row r="110" s="27" customFormat="1" ht="19.95" customHeight="1" spans="1:14">
      <c r="A110" s="64"/>
      <c r="B110" s="126" t="s">
        <v>49</v>
      </c>
      <c r="C110" s="127"/>
      <c r="D110" s="128"/>
      <c r="E110" s="129" t="str">
        <f>IF(E$109="","",IFERROR(VLOOKUP(LOOKUP(E$109,Option!$A$3:$A$15),Option!$A$3:$F$15,3,FALSE),""))</f>
        <v/>
      </c>
      <c r="F110" s="129"/>
      <c r="G110" s="129" t="str">
        <f>IF(G$109="","",IFERROR(VLOOKUP(LOOKUP(G$109,Option!$A$3:$A$15),Option!$A$3:$F$15,3,FALSE),""))</f>
        <v/>
      </c>
      <c r="H110" s="129"/>
      <c r="I110" s="129" t="str">
        <f>IF(I$109="","",IFERROR(VLOOKUP(LOOKUP(I$109,Option!$A$3:$A$15),Option!$A$3:$F$15,3,FALSE),""))</f>
        <v/>
      </c>
      <c r="J110" s="129"/>
      <c r="K110" s="129" t="str">
        <f>IF(K$109="","",IFERROR(VLOOKUP(LOOKUP(K$109,Option!$A$3:$A$15),Option!$A$3:$F$15,3,FALSE),""))</f>
        <v/>
      </c>
      <c r="L110" s="129"/>
      <c r="M110" s="129" t="str">
        <f>IF(M$109="","",IFERROR(VLOOKUP(LOOKUP(M$109,Option!$A$3:$A$15),Option!$A$3:$F$15,3,FALSE),""))</f>
        <v/>
      </c>
      <c r="N110" s="130"/>
    </row>
    <row r="111" s="27" customFormat="1" ht="19.95" customHeight="1" spans="1:14">
      <c r="A111" s="64"/>
      <c r="B111" s="131" t="s">
        <v>50</v>
      </c>
      <c r="C111" s="132"/>
      <c r="D111" s="132"/>
      <c r="E111" s="129" t="str">
        <f>IF(E$109="","",IFERROR(VLOOKUP(LOOKUP(E$109,Option!$A$3:$A$15),Option!$A$3:$F$15,4,FALSE),""))</f>
        <v/>
      </c>
      <c r="F111" s="129"/>
      <c r="G111" s="129" t="str">
        <f>IF(G$109="","",IFERROR(VLOOKUP(LOOKUP(G$109,Option!$A$3:$A$15),Option!$A$3:$F$15,4,FALSE),""))</f>
        <v/>
      </c>
      <c r="H111" s="129"/>
      <c r="I111" s="129" t="str">
        <f>IF(I$109="","",IFERROR(VLOOKUP(LOOKUP(I$109,Option!$A$3:$A$15),Option!$A$3:$F$15,4,FALSE),""))</f>
        <v/>
      </c>
      <c r="J111" s="129"/>
      <c r="K111" s="129" t="str">
        <f>IF(K$109="","",IFERROR(VLOOKUP(LOOKUP(K$109,Option!$A$3:$A$15),Option!$A$3:$F$15,4,FALSE),""))</f>
        <v/>
      </c>
      <c r="L111" s="129"/>
      <c r="M111" s="129" t="str">
        <f>IF(M$109="","",IFERROR(VLOOKUP(LOOKUP(M$109,Option!$A$3:$A$15),Option!$A$3:$F$15,4,FALSE),""))</f>
        <v/>
      </c>
      <c r="N111" s="130"/>
    </row>
    <row r="112" s="27" customFormat="1" ht="19.95" customHeight="1" spans="1:14">
      <c r="A112" s="64"/>
      <c r="B112" s="131" t="s">
        <v>51</v>
      </c>
      <c r="C112" s="132"/>
      <c r="D112" s="132"/>
      <c r="E112" s="129" t="str">
        <f>IF(E$109="","",IFERROR(VLOOKUP(LOOKUP(E$109,Option!$A$3:$A$15),Option!$A$3:$F$15,5,FALSE),""))</f>
        <v/>
      </c>
      <c r="F112" s="129"/>
      <c r="G112" s="129" t="str">
        <f>IF(G$109="","",IFERROR(VLOOKUP(LOOKUP(G$109,Option!$A$3:$A$15),Option!$A$3:$F$15,5,FALSE),""))</f>
        <v/>
      </c>
      <c r="H112" s="129"/>
      <c r="I112" s="129" t="str">
        <f>IF(I$109="","",IFERROR(VLOOKUP(LOOKUP(I$109,Option!$A$3:$A$15),Option!$A$3:$F$15,5,FALSE),""))</f>
        <v/>
      </c>
      <c r="J112" s="129"/>
      <c r="K112" s="129" t="str">
        <f>IF(K$109="","",IFERROR(VLOOKUP(LOOKUP(K$109,Option!$A$3:$A$15),Option!$A$3:$F$15,5,FALSE),""))</f>
        <v/>
      </c>
      <c r="L112" s="129"/>
      <c r="M112" s="129" t="str">
        <f>IF(M$109="","",IFERROR(VLOOKUP(LOOKUP(M$109,Option!$A$3:$A$15),Option!$A$3:$F$15,5,FALSE),""))</f>
        <v/>
      </c>
      <c r="N112" s="130"/>
    </row>
    <row r="113" s="27" customFormat="1" ht="19.95" customHeight="1" spans="1:14">
      <c r="A113" s="64"/>
      <c r="B113" s="131" t="s">
        <v>52</v>
      </c>
      <c r="C113" s="132"/>
      <c r="D113" s="132"/>
      <c r="E113" s="129" t="str">
        <f>IF(E$109="","",IFERROR(VLOOKUP(LOOKUP(E$109,Option!$A$3:$A$15),Option!$A$3:$F$15,6,FALSE),""))</f>
        <v/>
      </c>
      <c r="F113" s="129"/>
      <c r="G113" s="129" t="str">
        <f>IF(G$109="","",IFERROR(VLOOKUP(LOOKUP(G$109,Option!$A$3:$A$15),Option!$A$3:$F$15,6,FALSE),""))</f>
        <v/>
      </c>
      <c r="H113" s="129"/>
      <c r="I113" s="129" t="str">
        <f>IF(I$109="","",IFERROR(VLOOKUP(LOOKUP(I$109,Option!$A$3:$A$15),Option!$A$3:$F$15,6,FALSE),""))</f>
        <v/>
      </c>
      <c r="J113" s="129"/>
      <c r="K113" s="129" t="str">
        <f>IF(K$109="","",IFERROR(VLOOKUP(LOOKUP(K$109,Option!$A$3:$A$15),Option!$A$3:$F$15,6,FALSE),""))</f>
        <v/>
      </c>
      <c r="L113" s="129"/>
      <c r="M113" s="129" t="str">
        <f>IF(M$109="","",IFERROR(VLOOKUP(LOOKUP(M$109,Option!$A$3:$A$15),Option!$A$3:$F$15,6,FALSE),""))</f>
        <v/>
      </c>
      <c r="N113" s="130"/>
    </row>
    <row r="114" s="27" customFormat="1" ht="19.95" customHeight="1" spans="1:14">
      <c r="A114" s="64"/>
      <c r="B114" s="133" t="s">
        <v>53</v>
      </c>
      <c r="C114" s="134"/>
      <c r="D114" s="135"/>
      <c r="E114" s="99"/>
      <c r="F114" s="99"/>
      <c r="G114" s="99"/>
      <c r="H114" s="99"/>
      <c r="I114" s="99"/>
      <c r="J114" s="99"/>
      <c r="K114" s="99"/>
      <c r="L114" s="99"/>
      <c r="M114" s="138"/>
      <c r="N114" s="139"/>
    </row>
    <row r="115" s="27" customFormat="1" ht="19.95" customHeight="1" spans="1:14">
      <c r="A115" s="64"/>
      <c r="B115" s="140"/>
      <c r="C115" s="134"/>
      <c r="D115" s="135"/>
      <c r="E115" s="99"/>
      <c r="F115" s="99"/>
      <c r="G115" s="99"/>
      <c r="H115" s="99"/>
      <c r="I115" s="99"/>
      <c r="J115" s="99"/>
      <c r="K115" s="99"/>
      <c r="L115" s="99"/>
      <c r="M115" s="138"/>
      <c r="N115" s="139"/>
    </row>
    <row r="116" s="27" customFormat="1" ht="19.95" customHeight="1" spans="1:14">
      <c r="A116" s="64"/>
      <c r="B116" s="140"/>
      <c r="C116" s="134"/>
      <c r="D116" s="135"/>
      <c r="E116" s="99"/>
      <c r="F116" s="99"/>
      <c r="G116" s="99"/>
      <c r="H116" s="99"/>
      <c r="I116" s="99"/>
      <c r="J116" s="99"/>
      <c r="K116" s="99"/>
      <c r="L116" s="99"/>
      <c r="M116" s="138"/>
      <c r="N116" s="139"/>
    </row>
    <row r="117" s="27" customFormat="1" ht="19.95" customHeight="1" spans="1:14">
      <c r="A117" s="64"/>
      <c r="B117" s="140"/>
      <c r="C117" s="134"/>
      <c r="D117" s="135"/>
      <c r="E117" s="99"/>
      <c r="F117" s="99"/>
      <c r="G117" s="99"/>
      <c r="H117" s="99"/>
      <c r="I117" s="99"/>
      <c r="J117" s="99"/>
      <c r="K117" s="99"/>
      <c r="L117" s="99"/>
      <c r="M117" s="138"/>
      <c r="N117" s="139"/>
    </row>
    <row r="118" s="27" customFormat="1" ht="19.95" customHeight="1" spans="1:14">
      <c r="A118" s="64"/>
      <c r="B118" s="140"/>
      <c r="C118" s="134"/>
      <c r="D118" s="135"/>
      <c r="E118" s="99"/>
      <c r="F118" s="99"/>
      <c r="G118" s="99"/>
      <c r="H118" s="99"/>
      <c r="I118" s="99"/>
      <c r="J118" s="99"/>
      <c r="K118" s="99"/>
      <c r="L118" s="99"/>
      <c r="M118" s="138"/>
      <c r="N118" s="139"/>
    </row>
    <row r="119" s="27" customFormat="1" ht="19.95" customHeight="1" spans="1:14">
      <c r="A119" s="171"/>
      <c r="B119" s="140"/>
      <c r="C119" s="134"/>
      <c r="D119" s="135"/>
      <c r="E119" s="99"/>
      <c r="F119" s="99"/>
      <c r="G119" s="99"/>
      <c r="H119" s="99"/>
      <c r="I119" s="99"/>
      <c r="J119" s="99"/>
      <c r="K119" s="99"/>
      <c r="L119" s="99"/>
      <c r="M119" s="138"/>
      <c r="N119" s="139"/>
    </row>
    <row r="120" s="27" customFormat="1" ht="19.95" customHeight="1" spans="1:14">
      <c r="A120" s="171"/>
      <c r="B120" s="140"/>
      <c r="C120" s="134"/>
      <c r="D120" s="135"/>
      <c r="E120" s="99"/>
      <c r="F120" s="99"/>
      <c r="G120" s="99"/>
      <c r="H120" s="99"/>
      <c r="I120" s="99"/>
      <c r="J120" s="99"/>
      <c r="K120" s="99"/>
      <c r="L120" s="99"/>
      <c r="M120" s="138"/>
      <c r="N120" s="139"/>
    </row>
    <row r="121" s="27" customFormat="1" ht="19.95" customHeight="1" spans="1:14">
      <c r="A121" s="171"/>
      <c r="B121" s="140"/>
      <c r="C121" s="134"/>
      <c r="D121" s="135"/>
      <c r="E121" s="99"/>
      <c r="F121" s="99"/>
      <c r="G121" s="99"/>
      <c r="H121" s="99"/>
      <c r="I121" s="99"/>
      <c r="J121" s="99"/>
      <c r="K121" s="99"/>
      <c r="L121" s="99"/>
      <c r="M121" s="138"/>
      <c r="N121" s="139"/>
    </row>
    <row r="122" s="27" customFormat="1" ht="19.95" customHeight="1" spans="1:14">
      <c r="A122" s="171"/>
      <c r="B122" s="140"/>
      <c r="C122" s="134"/>
      <c r="D122" s="135"/>
      <c r="E122" s="99"/>
      <c r="F122" s="99"/>
      <c r="G122" s="99"/>
      <c r="H122" s="99"/>
      <c r="I122" s="99"/>
      <c r="J122" s="99"/>
      <c r="K122" s="99"/>
      <c r="L122" s="99"/>
      <c r="M122" s="138"/>
      <c r="N122" s="139"/>
    </row>
    <row r="123" s="27" customFormat="1" ht="19.95" customHeight="1" spans="1:14">
      <c r="A123" s="171"/>
      <c r="B123" s="140"/>
      <c r="C123" s="134"/>
      <c r="D123" s="135"/>
      <c r="E123" s="99"/>
      <c r="F123" s="99"/>
      <c r="G123" s="99"/>
      <c r="H123" s="99"/>
      <c r="I123" s="99"/>
      <c r="J123" s="99"/>
      <c r="K123" s="99"/>
      <c r="L123" s="99"/>
      <c r="M123" s="138"/>
      <c r="N123" s="139"/>
    </row>
    <row r="124" s="27" customFormat="1" ht="19.95" customHeight="1" spans="1:14">
      <c r="B124" s="140" t="s">
        <v>56</v>
      </c>
      <c r="C124" s="142" t="s">
        <v>57</v>
      </c>
      <c r="D124" s="142"/>
      <c r="E124" s="99"/>
      <c r="F124" s="99"/>
      <c r="G124" s="99"/>
      <c r="H124" s="99"/>
      <c r="I124" s="99"/>
      <c r="J124" s="99"/>
      <c r="K124" s="99"/>
      <c r="L124" s="99"/>
      <c r="M124" s="138"/>
      <c r="N124" s="139"/>
    </row>
    <row r="125" s="27" customFormat="1" ht="19.95" customHeight="1" spans="1:14">
      <c r="A125" s="64"/>
      <c r="B125" s="140"/>
      <c r="C125" s="142" t="s">
        <v>58</v>
      </c>
      <c r="D125" s="142"/>
      <c r="E125" s="99"/>
      <c r="F125" s="99"/>
      <c r="G125" s="99"/>
      <c r="H125" s="99"/>
      <c r="I125" s="99"/>
      <c r="J125" s="99"/>
      <c r="K125" s="99"/>
      <c r="L125" s="99"/>
      <c r="M125" s="138"/>
      <c r="N125" s="139"/>
    </row>
    <row r="126" s="27" customFormat="1" ht="19.95" customHeight="1" spans="1:14">
      <c r="A126" s="64"/>
      <c r="B126" s="140"/>
      <c r="C126" s="142" t="s">
        <v>59</v>
      </c>
      <c r="D126" s="142"/>
      <c r="E126" s="99"/>
      <c r="F126" s="99"/>
      <c r="G126" s="99"/>
      <c r="H126" s="99"/>
      <c r="I126" s="99"/>
      <c r="J126" s="99"/>
      <c r="K126" s="99"/>
      <c r="L126" s="99"/>
      <c r="M126" s="138"/>
      <c r="N126" s="139"/>
    </row>
    <row r="127" s="27" customFormat="1" ht="19.95" customHeight="1" spans="1:14">
      <c r="A127" s="64"/>
      <c r="B127" s="140"/>
      <c r="C127" s="142" t="s">
        <v>60</v>
      </c>
      <c r="D127" s="142"/>
      <c r="E127" s="99"/>
      <c r="F127" s="99"/>
      <c r="G127" s="99"/>
      <c r="H127" s="99"/>
      <c r="I127" s="99"/>
      <c r="J127" s="99"/>
      <c r="K127" s="99"/>
      <c r="L127" s="99"/>
      <c r="M127" s="99"/>
      <c r="N127" s="146"/>
    </row>
    <row r="128" s="27" customFormat="1" ht="19.95" customHeight="1" spans="1:14">
      <c r="B128" s="147" t="s">
        <v>61</v>
      </c>
      <c r="C128" s="148" t="s">
        <v>62</v>
      </c>
      <c r="D128" s="149"/>
      <c r="E128" s="99"/>
      <c r="F128" s="99"/>
      <c r="G128" s="99"/>
      <c r="H128" s="99"/>
      <c r="I128" s="99"/>
      <c r="J128" s="99"/>
      <c r="K128" s="99"/>
      <c r="L128" s="99"/>
      <c r="M128" s="99"/>
      <c r="N128" s="146"/>
    </row>
    <row r="129" s="27" customFormat="1" ht="61.95" customHeight="1" spans="1:14">
      <c r="B129" s="151" t="s">
        <v>64</v>
      </c>
      <c r="C129" s="152" t="s">
        <v>65</v>
      </c>
      <c r="D129" s="152"/>
      <c r="E129" s="172"/>
      <c r="F129" s="172"/>
      <c r="G129" s="181"/>
      <c r="H129" s="182"/>
      <c r="I129" s="181"/>
      <c r="J129" s="182"/>
      <c r="K129" s="181"/>
      <c r="L129" s="182"/>
      <c r="M129" s="173"/>
      <c r="N129" s="174"/>
    </row>
    <row r="130" s="27" customFormat="1" ht="16.05" customHeight="1" spans="1:14">
      <c r="B130" s="183" t="s">
        <v>46</v>
      </c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5"/>
    </row>
    <row r="131" s="30" customFormat="1" ht="25.95" customHeight="1" spans="1:14">
      <c r="A131" s="176"/>
      <c r="B131" s="177" t="s">
        <v>68</v>
      </c>
      <c r="C131" s="178"/>
      <c r="D131" s="178"/>
      <c r="E131" s="179">
        <f>C32</f>
        <v>0</v>
      </c>
      <c r="F131" s="179"/>
      <c r="G131" s="179">
        <f>C33</f>
        <v>0</v>
      </c>
      <c r="H131" s="179"/>
      <c r="I131" s="179">
        <f>C34</f>
        <v>0</v>
      </c>
      <c r="J131" s="179"/>
      <c r="K131" s="179">
        <f>C35</f>
        <v>0</v>
      </c>
      <c r="L131" s="179"/>
      <c r="M131" s="179">
        <f>C36</f>
        <v>0</v>
      </c>
      <c r="N131" s="180"/>
    </row>
    <row r="132" s="27" customFormat="1" ht="19.95" customHeight="1" spans="1:14">
      <c r="A132" s="64"/>
      <c r="B132" s="165" t="s">
        <v>48</v>
      </c>
      <c r="C132" s="166"/>
      <c r="D132" s="166"/>
      <c r="E132" s="167">
        <f>I54*J54</f>
        <v>0</v>
      </c>
      <c r="F132" s="168"/>
      <c r="G132" s="167">
        <f>I55*J55</f>
        <v>0</v>
      </c>
      <c r="H132" s="168"/>
      <c r="I132" s="167">
        <f>I56*J56</f>
        <v>0</v>
      </c>
      <c r="J132" s="168"/>
      <c r="K132" s="167">
        <f>I57*J57</f>
        <v>0</v>
      </c>
      <c r="L132" s="168"/>
      <c r="M132" s="169">
        <f>I58*J58</f>
        <v>0</v>
      </c>
      <c r="N132" s="170"/>
    </row>
    <row r="133" s="27" customFormat="1" ht="19.95" customHeight="1" spans="1:14">
      <c r="A133" s="64"/>
      <c r="B133" s="126" t="s">
        <v>49</v>
      </c>
      <c r="C133" s="127"/>
      <c r="D133" s="128"/>
      <c r="E133" s="129" t="str">
        <f>IF(E$132="","",IFERROR(VLOOKUP(LOOKUP(E$132,Option!$A$3:$A$15),Option!$A$3:$F$15,3,FALSE),""))</f>
        <v/>
      </c>
      <c r="F133" s="129"/>
      <c r="G133" s="129" t="str">
        <f>IF(G$132="","",IFERROR(VLOOKUP(LOOKUP(G$132,Option!$A$3:$A$15),Option!$A$3:$F$15,3,FALSE),""))</f>
        <v/>
      </c>
      <c r="H133" s="129"/>
      <c r="I133" s="129" t="str">
        <f>IF(I$132="","",IFERROR(VLOOKUP(LOOKUP(I$132,Option!$A$3:$A$15),Option!$A$3:$F$15,3,FALSE),""))</f>
        <v/>
      </c>
      <c r="J133" s="129"/>
      <c r="K133" s="129" t="str">
        <f>IF(K$132="","",IFERROR(VLOOKUP(LOOKUP(K$132,Option!$A$3:$A$15),Option!$A$3:$F$15,3,FALSE),""))</f>
        <v/>
      </c>
      <c r="L133" s="129"/>
      <c r="M133" s="129" t="str">
        <f>IF(M$132="","",IFERROR(VLOOKUP(LOOKUP(M$132,Option!$A$3:$A$15),Option!$A$3:$F$15,3,FALSE),""))</f>
        <v/>
      </c>
      <c r="N133" s="130"/>
    </row>
    <row r="134" s="27" customFormat="1" ht="19.95" customHeight="1" spans="1:14">
      <c r="A134" s="64"/>
      <c r="B134" s="131" t="s">
        <v>50</v>
      </c>
      <c r="C134" s="132"/>
      <c r="D134" s="132"/>
      <c r="E134" s="129" t="str">
        <f>IF(E$132="","",IFERROR(VLOOKUP(LOOKUP(E$132,Option!$A$3:$A$15),Option!$A$3:$F$15,4,FALSE),""))</f>
        <v/>
      </c>
      <c r="F134" s="129"/>
      <c r="G134" s="129" t="str">
        <f>IF(G$132="","",IFERROR(VLOOKUP(LOOKUP(G$132,Option!$A$3:$A$15),Option!$A$3:$F$15,4,FALSE),""))</f>
        <v/>
      </c>
      <c r="H134" s="129"/>
      <c r="I134" s="129" t="str">
        <f>IF(I$132="","",IFERROR(VLOOKUP(LOOKUP(I$132,Option!$A$3:$A$15),Option!$A$3:$F$15,4,FALSE),""))</f>
        <v/>
      </c>
      <c r="J134" s="129"/>
      <c r="K134" s="129" t="str">
        <f>IF(K$132="","",IFERROR(VLOOKUP(LOOKUP(K$132,Option!$A$3:$A$15),Option!$A$3:$F$15,4,FALSE),""))</f>
        <v/>
      </c>
      <c r="L134" s="129"/>
      <c r="M134" s="129" t="str">
        <f>IF(M$132="","",IFERROR(VLOOKUP(LOOKUP(M$132,Option!$A$3:$A$15),Option!$A$3:$F$15,4,FALSE),""))</f>
        <v/>
      </c>
      <c r="N134" s="130"/>
    </row>
    <row r="135" s="27" customFormat="1" ht="19.95" customHeight="1" spans="1:14">
      <c r="A135" s="64"/>
      <c r="B135" s="131" t="s">
        <v>51</v>
      </c>
      <c r="C135" s="132"/>
      <c r="D135" s="132"/>
      <c r="E135" s="129" t="str">
        <f>IF(E$132="","",IFERROR(VLOOKUP(LOOKUP(E$132,Option!$A$3:$A$15),Option!$A$3:$F$15,5,FALSE),""))</f>
        <v/>
      </c>
      <c r="F135" s="129"/>
      <c r="G135" s="129" t="str">
        <f>IF(G$132="","",IFERROR(VLOOKUP(LOOKUP(G$132,Option!$A$3:$A$15),Option!$A$3:$F$15,5,FALSE),""))</f>
        <v/>
      </c>
      <c r="H135" s="129"/>
      <c r="I135" s="129" t="str">
        <f>IF(I$132="","",IFERROR(VLOOKUP(LOOKUP(I$132,Option!$A$3:$A$15),Option!$A$3:$F$15,5,FALSE),""))</f>
        <v/>
      </c>
      <c r="J135" s="129"/>
      <c r="K135" s="129" t="str">
        <f>IF(K$132="","",IFERROR(VLOOKUP(LOOKUP(K$132,Option!$A$3:$A$15),Option!$A$3:$F$15,5,FALSE),""))</f>
        <v/>
      </c>
      <c r="L135" s="129"/>
      <c r="M135" s="129" t="str">
        <f>IF(M$132="","",IFERROR(VLOOKUP(LOOKUP(M$132,Option!$A$3:$A$15),Option!$A$3:$F$15,5,FALSE),""))</f>
        <v/>
      </c>
      <c r="N135" s="130"/>
    </row>
    <row r="136" s="27" customFormat="1" ht="19.95" customHeight="1" spans="1:14">
      <c r="A136" s="64"/>
      <c r="B136" s="131" t="s">
        <v>52</v>
      </c>
      <c r="C136" s="132"/>
      <c r="D136" s="132"/>
      <c r="E136" s="129" t="str">
        <f>IF(E$132="","",IFERROR(VLOOKUP(LOOKUP(E$132,Option!$A$3:$A$15),Option!$A$3:$F$15,6,FALSE),""))</f>
        <v/>
      </c>
      <c r="F136" s="129"/>
      <c r="G136" s="129" t="str">
        <f>IF(G$132="","",IFERROR(VLOOKUP(LOOKUP(G$132,Option!$A$3:$A$15),Option!$A$3:$F$15,6,FALSE),""))</f>
        <v/>
      </c>
      <c r="H136" s="129"/>
      <c r="I136" s="129" t="str">
        <f>IF(I$132="","",IFERROR(VLOOKUP(LOOKUP(I$132,Option!$A$3:$A$15),Option!$A$3:$F$15,6,FALSE),""))</f>
        <v/>
      </c>
      <c r="J136" s="129"/>
      <c r="K136" s="129" t="str">
        <f>IF(K$132="","",IFERROR(VLOOKUP(LOOKUP(K$132,Option!$A$3:$A$15),Option!$A$3:$F$15,6,FALSE),""))</f>
        <v/>
      </c>
      <c r="L136" s="129"/>
      <c r="M136" s="129" t="str">
        <f>IF(M$132="","",IFERROR(VLOOKUP(LOOKUP(M$132,Option!$A$3:$A$15),Option!$A$3:$F$15,6,FALSE),""))</f>
        <v/>
      </c>
      <c r="N136" s="130"/>
    </row>
    <row r="137" s="27" customFormat="1" ht="19.95" customHeight="1" spans="1:14">
      <c r="A137" s="64"/>
      <c r="B137" s="133" t="s">
        <v>69</v>
      </c>
      <c r="C137" s="134"/>
      <c r="D137" s="135"/>
      <c r="E137" s="136"/>
      <c r="F137" s="137"/>
      <c r="G137" s="136"/>
      <c r="H137" s="137"/>
      <c r="I137" s="136"/>
      <c r="J137" s="137"/>
      <c r="K137" s="136"/>
      <c r="L137" s="137"/>
      <c r="M137" s="138"/>
      <c r="N137" s="139"/>
    </row>
    <row r="138" s="27" customFormat="1" ht="19.95" customHeight="1" spans="1:14">
      <c r="A138" s="64"/>
      <c r="B138" s="140"/>
      <c r="C138" s="134"/>
      <c r="D138" s="135"/>
      <c r="E138" s="136"/>
      <c r="F138" s="137"/>
      <c r="G138" s="136"/>
      <c r="H138" s="137"/>
      <c r="I138" s="136"/>
      <c r="J138" s="137"/>
      <c r="K138" s="136"/>
      <c r="L138" s="137"/>
      <c r="M138" s="138"/>
      <c r="N138" s="139"/>
    </row>
    <row r="139" s="27" customFormat="1" ht="19.95" customHeight="1" spans="1:14">
      <c r="A139" s="64"/>
      <c r="B139" s="140"/>
      <c r="C139" s="134"/>
      <c r="D139" s="135"/>
      <c r="E139" s="136"/>
      <c r="F139" s="137"/>
      <c r="G139" s="136"/>
      <c r="H139" s="137"/>
      <c r="I139" s="136"/>
      <c r="J139" s="137"/>
      <c r="K139" s="136"/>
      <c r="L139" s="137"/>
      <c r="M139" s="138"/>
      <c r="N139" s="139"/>
    </row>
    <row r="140" s="27" customFormat="1" ht="19.95" customHeight="1" spans="1:14">
      <c r="A140" s="64"/>
      <c r="B140" s="140"/>
      <c r="C140" s="134"/>
      <c r="D140" s="135"/>
      <c r="E140" s="136"/>
      <c r="F140" s="137"/>
      <c r="G140" s="136"/>
      <c r="H140" s="137"/>
      <c r="I140" s="136"/>
      <c r="J140" s="137"/>
      <c r="K140" s="136"/>
      <c r="L140" s="137"/>
      <c r="M140" s="138"/>
      <c r="N140" s="139"/>
    </row>
    <row r="141" s="27" customFormat="1" ht="19.95" customHeight="1" spans="1:14">
      <c r="A141" s="64"/>
      <c r="B141" s="140"/>
      <c r="C141" s="134"/>
      <c r="D141" s="135"/>
      <c r="E141" s="136"/>
      <c r="F141" s="137"/>
      <c r="G141" s="136"/>
      <c r="H141" s="137"/>
      <c r="I141" s="136"/>
      <c r="J141" s="137"/>
      <c r="K141" s="136"/>
      <c r="L141" s="137"/>
      <c r="M141" s="138"/>
      <c r="N141" s="139"/>
    </row>
    <row r="142" s="27" customFormat="1" ht="19.95" customHeight="1" spans="1:14">
      <c r="A142" s="171"/>
      <c r="B142" s="140"/>
      <c r="C142" s="134"/>
      <c r="D142" s="135"/>
      <c r="E142" s="136"/>
      <c r="F142" s="137"/>
      <c r="G142" s="136"/>
      <c r="H142" s="137"/>
      <c r="I142" s="136"/>
      <c r="J142" s="137"/>
      <c r="K142" s="136"/>
      <c r="L142" s="137"/>
      <c r="M142" s="138"/>
      <c r="N142" s="139"/>
    </row>
    <row r="143" s="27" customFormat="1" ht="19.95" customHeight="1" spans="1:14">
      <c r="A143" s="171"/>
      <c r="B143" s="140"/>
      <c r="C143" s="134"/>
      <c r="D143" s="135"/>
      <c r="E143" s="136"/>
      <c r="F143" s="137"/>
      <c r="G143" s="136"/>
      <c r="H143" s="137"/>
      <c r="I143" s="136"/>
      <c r="J143" s="137"/>
      <c r="K143" s="136"/>
      <c r="L143" s="137"/>
      <c r="M143" s="138"/>
      <c r="N143" s="139"/>
    </row>
    <row r="144" s="27" customFormat="1" ht="19.95" customHeight="1" spans="1:14">
      <c r="A144" s="171"/>
      <c r="B144" s="140"/>
      <c r="C144" s="134"/>
      <c r="D144" s="135"/>
      <c r="E144" s="136"/>
      <c r="F144" s="137"/>
      <c r="G144" s="136"/>
      <c r="H144" s="137"/>
      <c r="I144" s="136"/>
      <c r="J144" s="137"/>
      <c r="K144" s="136"/>
      <c r="L144" s="137"/>
      <c r="M144" s="138"/>
      <c r="N144" s="139"/>
    </row>
    <row r="145" s="27" customFormat="1" ht="19.95" customHeight="1" spans="1:14">
      <c r="A145" s="171"/>
      <c r="B145" s="140"/>
      <c r="C145" s="134"/>
      <c r="D145" s="135"/>
      <c r="E145" s="136"/>
      <c r="F145" s="137"/>
      <c r="G145" s="136"/>
      <c r="H145" s="137"/>
      <c r="I145" s="136"/>
      <c r="J145" s="137"/>
      <c r="K145" s="136"/>
      <c r="L145" s="137"/>
      <c r="M145" s="138"/>
      <c r="N145" s="139"/>
    </row>
    <row r="146" s="27" customFormat="1" ht="19.95" customHeight="1" spans="1:14">
      <c r="A146" s="171"/>
      <c r="B146" s="140"/>
      <c r="C146" s="134"/>
      <c r="D146" s="135"/>
      <c r="E146" s="186"/>
      <c r="F146" s="187"/>
      <c r="G146" s="186"/>
      <c r="H146" s="187"/>
      <c r="I146" s="186"/>
      <c r="J146" s="187"/>
      <c r="K146" s="186"/>
      <c r="L146" s="187"/>
      <c r="M146" s="138"/>
      <c r="N146" s="139"/>
    </row>
    <row r="147" s="27" customFormat="1" ht="19.95" customHeight="1" spans="1:14">
      <c r="B147" s="140" t="s">
        <v>56</v>
      </c>
      <c r="C147" s="142" t="s">
        <v>57</v>
      </c>
      <c r="D147" s="142"/>
      <c r="E147" s="99"/>
      <c r="F147" s="99"/>
      <c r="G147" s="99"/>
      <c r="H147" s="99"/>
      <c r="I147" s="99"/>
      <c r="J147" s="99"/>
      <c r="K147" s="99"/>
      <c r="L147" s="99"/>
      <c r="M147" s="138"/>
      <c r="N147" s="139"/>
    </row>
    <row r="148" s="27" customFormat="1" ht="19.95" customHeight="1" spans="1:14">
      <c r="A148" s="64"/>
      <c r="B148" s="140"/>
      <c r="C148" s="142" t="s">
        <v>58</v>
      </c>
      <c r="D148" s="142"/>
      <c r="E148" s="99"/>
      <c r="F148" s="99"/>
      <c r="G148" s="99"/>
      <c r="H148" s="99"/>
      <c r="I148" s="99"/>
      <c r="J148" s="99"/>
      <c r="K148" s="99"/>
      <c r="L148" s="99"/>
      <c r="M148" s="138"/>
      <c r="N148" s="139"/>
    </row>
    <row r="149" s="27" customFormat="1" ht="19.95" customHeight="1" spans="1:14">
      <c r="A149" s="64"/>
      <c r="B149" s="140"/>
      <c r="C149" s="142" t="s">
        <v>59</v>
      </c>
      <c r="D149" s="142"/>
      <c r="E149" s="99"/>
      <c r="F149" s="99"/>
      <c r="G149" s="99"/>
      <c r="H149" s="99"/>
      <c r="I149" s="99"/>
      <c r="J149" s="99"/>
      <c r="K149" s="99"/>
      <c r="L149" s="99"/>
      <c r="M149" s="138"/>
      <c r="N149" s="139"/>
    </row>
    <row r="150" s="27" customFormat="1" ht="19.95" customHeight="1" spans="1:14">
      <c r="A150" s="64"/>
      <c r="B150" s="140"/>
      <c r="C150" s="142" t="s">
        <v>60</v>
      </c>
      <c r="D150" s="142"/>
      <c r="E150" s="99"/>
      <c r="F150" s="99"/>
      <c r="G150" s="99"/>
      <c r="H150" s="99"/>
      <c r="I150" s="99"/>
      <c r="J150" s="99"/>
      <c r="K150" s="99"/>
      <c r="L150" s="99"/>
      <c r="M150" s="99"/>
      <c r="N150" s="146"/>
    </row>
    <row r="151" s="27" customFormat="1" ht="19.95" customHeight="1" spans="1:14">
      <c r="B151" s="147" t="s">
        <v>61</v>
      </c>
      <c r="C151" s="148" t="s">
        <v>62</v>
      </c>
      <c r="D151" s="149"/>
      <c r="E151" s="99"/>
      <c r="F151" s="99"/>
      <c r="G151" s="99"/>
      <c r="H151" s="99"/>
      <c r="I151" s="99"/>
      <c r="J151" s="99"/>
      <c r="K151" s="99"/>
      <c r="L151" s="99"/>
      <c r="M151" s="99"/>
      <c r="N151" s="146"/>
    </row>
    <row r="152" s="27" customFormat="1" ht="61.95" customHeight="1" spans="1:14">
      <c r="B152" s="151" t="s">
        <v>64</v>
      </c>
      <c r="C152" s="152" t="s">
        <v>65</v>
      </c>
      <c r="D152" s="152"/>
      <c r="E152" s="172"/>
      <c r="F152" s="172"/>
      <c r="G152" s="181"/>
      <c r="H152" s="182"/>
      <c r="I152" s="181"/>
      <c r="J152" s="182"/>
      <c r="K152" s="181"/>
      <c r="L152" s="182"/>
      <c r="M152" s="173"/>
      <c r="N152" s="174"/>
    </row>
    <row r="153" s="28" customFormat="1" ht="18" customHeight="1" spans="1:14">
      <c r="A153" s="188"/>
      <c r="B153" s="189" t="s">
        <v>70</v>
      </c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1"/>
    </row>
    <row r="154" s="28" customFormat="1" ht="12" customHeight="1" spans="1:14">
      <c r="A154" s="188"/>
      <c r="B154" s="192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4"/>
    </row>
    <row r="155" s="28" customFormat="1" ht="25.05" customHeight="1" spans="1:14">
      <c r="A155" s="188"/>
      <c r="B155" s="195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7"/>
    </row>
    <row r="156" s="28" customFormat="1" ht="25.05" customHeight="1" spans="1:14">
      <c r="A156" s="188"/>
      <c r="B156" s="198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200"/>
    </row>
    <row r="157" s="28" customFormat="1" ht="25.05" customHeight="1" spans="1:14">
      <c r="A157" s="201"/>
      <c r="B157" s="202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4"/>
    </row>
    <row r="158" s="25" customFormat="1" ht="15" spans="1:14">
      <c r="A158" s="37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</row>
    <row r="159" s="25" customFormat="1" ht="15" spans="1:14"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</row>
    <row r="160" s="29" customFormat="1" ht="15.35" spans="1:14">
      <c r="B160" s="206" t="s">
        <v>71</v>
      </c>
      <c r="C160" s="206"/>
      <c r="D160" s="206"/>
      <c r="E160" s="207" t="s">
        <v>72</v>
      </c>
      <c r="F160" s="207"/>
      <c r="G160" s="207"/>
      <c r="H160" s="207"/>
      <c r="I160" s="207"/>
      <c r="J160" s="207" t="s">
        <v>73</v>
      </c>
      <c r="K160" s="207"/>
      <c r="L160" s="207"/>
      <c r="M160" s="207"/>
      <c r="N160" s="207"/>
    </row>
    <row r="161" s="29" customFormat="1" ht="15.35" spans="2:14"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</row>
    <row r="162" s="29" customFormat="1" ht="15.35" spans="2:14">
      <c r="B162" s="209">
        <f>J5</f>
        <v>0</v>
      </c>
      <c r="C162" s="209"/>
      <c r="D162" s="209"/>
      <c r="E162" s="210"/>
      <c r="F162" s="210"/>
      <c r="G162" s="210"/>
      <c r="H162" s="210"/>
      <c r="J162" s="211">
        <f>J7</f>
        <v>0</v>
      </c>
      <c r="K162" s="211"/>
      <c r="L162" s="211"/>
      <c r="M162" s="211"/>
      <c r="N162" s="212"/>
    </row>
    <row r="163" s="25" customFormat="1" spans="2:14">
      <c r="B163" s="213"/>
      <c r="C163" s="214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</row>
  </sheetData>
  <sheetProtection selectLockedCells="1"/>
  <mergeCells count="685">
    <mergeCell ref="B3:N3"/>
    <mergeCell ref="B4:C4"/>
    <mergeCell ref="D4:F4"/>
    <mergeCell ref="G4:I4"/>
    <mergeCell ref="J4:N4"/>
    <mergeCell ref="B5:C5"/>
    <mergeCell ref="D5:F5"/>
    <mergeCell ref="G5:I5"/>
    <mergeCell ref="J5:N5"/>
    <mergeCell ref="B6:C6"/>
    <mergeCell ref="D6:F6"/>
    <mergeCell ref="G6:I6"/>
    <mergeCell ref="J6:N6"/>
    <mergeCell ref="B7:C7"/>
    <mergeCell ref="D7:F7"/>
    <mergeCell ref="G7:I7"/>
    <mergeCell ref="J7:N7"/>
    <mergeCell ref="B8:C8"/>
    <mergeCell ref="D8:F8"/>
    <mergeCell ref="G8:I8"/>
    <mergeCell ref="J8:N8"/>
    <mergeCell ref="B9:C9"/>
    <mergeCell ref="D9:F9"/>
    <mergeCell ref="G9:I9"/>
    <mergeCell ref="J9:N9"/>
    <mergeCell ref="B10:C10"/>
    <mergeCell ref="D10:F10"/>
    <mergeCell ref="G10:I10"/>
    <mergeCell ref="J10:N10"/>
    <mergeCell ref="B11:C11"/>
    <mergeCell ref="D11:F11"/>
    <mergeCell ref="G11:I11"/>
    <mergeCell ref="J11:N11"/>
    <mergeCell ref="B12:E12"/>
    <mergeCell ref="F12:N12"/>
    <mergeCell ref="B13:N13"/>
    <mergeCell ref="F14:H14"/>
    <mergeCell ref="I14:K14"/>
    <mergeCell ref="C17:E17"/>
    <mergeCell ref="L17:M17"/>
    <mergeCell ref="C18:E18"/>
    <mergeCell ref="L18:M18"/>
    <mergeCell ref="C19:E19"/>
    <mergeCell ref="L19:M19"/>
    <mergeCell ref="C20:E20"/>
    <mergeCell ref="L20:M20"/>
    <mergeCell ref="C21:E21"/>
    <mergeCell ref="L21:M21"/>
    <mergeCell ref="C22:E22"/>
    <mergeCell ref="L22:M22"/>
    <mergeCell ref="C23:E23"/>
    <mergeCell ref="L23:M23"/>
    <mergeCell ref="C24:E24"/>
    <mergeCell ref="L24:M24"/>
    <mergeCell ref="C25:E25"/>
    <mergeCell ref="L25:M25"/>
    <mergeCell ref="C26:E26"/>
    <mergeCell ref="L26:M26"/>
    <mergeCell ref="C27:E27"/>
    <mergeCell ref="L27:M27"/>
    <mergeCell ref="C28:E28"/>
    <mergeCell ref="L28:M28"/>
    <mergeCell ref="C29:E29"/>
    <mergeCell ref="L29:M29"/>
    <mergeCell ref="C30:E30"/>
    <mergeCell ref="L30:M30"/>
    <mergeCell ref="C31:E31"/>
    <mergeCell ref="L31:M31"/>
    <mergeCell ref="C32:E32"/>
    <mergeCell ref="L32:M32"/>
    <mergeCell ref="C33:E33"/>
    <mergeCell ref="L33:M33"/>
    <mergeCell ref="C34:E34"/>
    <mergeCell ref="L34:M34"/>
    <mergeCell ref="C35:E35"/>
    <mergeCell ref="L35:M35"/>
    <mergeCell ref="C36:E36"/>
    <mergeCell ref="L36:M36"/>
    <mergeCell ref="B37:N37"/>
    <mergeCell ref="B38:E38"/>
    <mergeCell ref="M38:N38"/>
    <mergeCell ref="C39:E39"/>
    <mergeCell ref="M39:N39"/>
    <mergeCell ref="C40:E40"/>
    <mergeCell ref="M40:N40"/>
    <mergeCell ref="C41:E41"/>
    <mergeCell ref="M41:N41"/>
    <mergeCell ref="C42:E42"/>
    <mergeCell ref="M42:N42"/>
    <mergeCell ref="C43:E43"/>
    <mergeCell ref="M43:N43"/>
    <mergeCell ref="C44:E44"/>
    <mergeCell ref="M44:N44"/>
    <mergeCell ref="C45:E45"/>
    <mergeCell ref="M45:N45"/>
    <mergeCell ref="C46:E46"/>
    <mergeCell ref="M46:N46"/>
    <mergeCell ref="C47:E47"/>
    <mergeCell ref="M47:N47"/>
    <mergeCell ref="C48:E48"/>
    <mergeCell ref="M48:N48"/>
    <mergeCell ref="C49:E49"/>
    <mergeCell ref="M49:N49"/>
    <mergeCell ref="C50:E50"/>
    <mergeCell ref="M50:N50"/>
    <mergeCell ref="C51:E51"/>
    <mergeCell ref="M51:N51"/>
    <mergeCell ref="C52:E52"/>
    <mergeCell ref="M52:N52"/>
    <mergeCell ref="C53:E53"/>
    <mergeCell ref="M53:N53"/>
    <mergeCell ref="C54:E54"/>
    <mergeCell ref="M54:N54"/>
    <mergeCell ref="C55:E55"/>
    <mergeCell ref="M55:N55"/>
    <mergeCell ref="C56:E56"/>
    <mergeCell ref="M56:N56"/>
    <mergeCell ref="C57:E57"/>
    <mergeCell ref="M57:N57"/>
    <mergeCell ref="C58:E58"/>
    <mergeCell ref="M58:N58"/>
    <mergeCell ref="B59:K59"/>
    <mergeCell ref="M59:N59"/>
    <mergeCell ref="B60:L60"/>
    <mergeCell ref="B61:N61"/>
    <mergeCell ref="B62:D62"/>
    <mergeCell ref="E62:F62"/>
    <mergeCell ref="G62:H62"/>
    <mergeCell ref="I62:J62"/>
    <mergeCell ref="K62:L62"/>
    <mergeCell ref="M62:N62"/>
    <mergeCell ref="B63:D63"/>
    <mergeCell ref="E63:F63"/>
    <mergeCell ref="G63:H63"/>
    <mergeCell ref="I63:J63"/>
    <mergeCell ref="K63:L63"/>
    <mergeCell ref="M63:N63"/>
    <mergeCell ref="B64:D64"/>
    <mergeCell ref="E64:F64"/>
    <mergeCell ref="G64:H64"/>
    <mergeCell ref="I64:J64"/>
    <mergeCell ref="K64:L64"/>
    <mergeCell ref="M64:N64"/>
    <mergeCell ref="B65:D65"/>
    <mergeCell ref="E65:F65"/>
    <mergeCell ref="G65:H65"/>
    <mergeCell ref="I65:J65"/>
    <mergeCell ref="K65:L65"/>
    <mergeCell ref="M65:N65"/>
    <mergeCell ref="B66:D66"/>
    <mergeCell ref="E66:F66"/>
    <mergeCell ref="G66:H66"/>
    <mergeCell ref="I66:J66"/>
    <mergeCell ref="K66:L66"/>
    <mergeCell ref="M66:N66"/>
    <mergeCell ref="B67:D67"/>
    <mergeCell ref="E67:F67"/>
    <mergeCell ref="G67:H67"/>
    <mergeCell ref="I67:J67"/>
    <mergeCell ref="K67:L67"/>
    <mergeCell ref="M67:N67"/>
    <mergeCell ref="C68:D68"/>
    <mergeCell ref="E68:F68"/>
    <mergeCell ref="G68:H68"/>
    <mergeCell ref="I68:J68"/>
    <mergeCell ref="K68:L68"/>
    <mergeCell ref="M68:N68"/>
    <mergeCell ref="C69:D69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M70:N70"/>
    <mergeCell ref="C71:D71"/>
    <mergeCell ref="E71:F71"/>
    <mergeCell ref="G71:H71"/>
    <mergeCell ref="I71:J71"/>
    <mergeCell ref="K71:L71"/>
    <mergeCell ref="M71:N71"/>
    <mergeCell ref="C72:D72"/>
    <mergeCell ref="E72:F72"/>
    <mergeCell ref="G72:H72"/>
    <mergeCell ref="I72:J72"/>
    <mergeCell ref="K72:L72"/>
    <mergeCell ref="M72:N72"/>
    <mergeCell ref="C73:D73"/>
    <mergeCell ref="E73:F73"/>
    <mergeCell ref="G73:H73"/>
    <mergeCell ref="I73:J73"/>
    <mergeCell ref="K73:L73"/>
    <mergeCell ref="M73:N73"/>
    <mergeCell ref="C74:D74"/>
    <mergeCell ref="E74:F74"/>
    <mergeCell ref="G74:H74"/>
    <mergeCell ref="I74:J74"/>
    <mergeCell ref="K74:L74"/>
    <mergeCell ref="M74:N74"/>
    <mergeCell ref="C75:D75"/>
    <mergeCell ref="E75:F75"/>
    <mergeCell ref="G75:H75"/>
    <mergeCell ref="I75:J75"/>
    <mergeCell ref="K75:L75"/>
    <mergeCell ref="M75:N75"/>
    <mergeCell ref="C76:D76"/>
    <mergeCell ref="E76:F76"/>
    <mergeCell ref="G76:H76"/>
    <mergeCell ref="I76:J76"/>
    <mergeCell ref="K76:L76"/>
    <mergeCell ref="M76:N76"/>
    <mergeCell ref="C77:D77"/>
    <mergeCell ref="E77:F77"/>
    <mergeCell ref="G77:H77"/>
    <mergeCell ref="I77:J77"/>
    <mergeCell ref="K77:L77"/>
    <mergeCell ref="M77:N77"/>
    <mergeCell ref="C78:D78"/>
    <mergeCell ref="E78:F78"/>
    <mergeCell ref="G78:H78"/>
    <mergeCell ref="I78:J78"/>
    <mergeCell ref="K78:L78"/>
    <mergeCell ref="M78:N78"/>
    <mergeCell ref="C79:D79"/>
    <mergeCell ref="E79:F79"/>
    <mergeCell ref="G79:H79"/>
    <mergeCell ref="I79:J79"/>
    <mergeCell ref="K79:L79"/>
    <mergeCell ref="M79:N79"/>
    <mergeCell ref="C80:D80"/>
    <mergeCell ref="E80:F80"/>
    <mergeCell ref="G80:H80"/>
    <mergeCell ref="I80:J80"/>
    <mergeCell ref="K80:L80"/>
    <mergeCell ref="M80:N80"/>
    <mergeCell ref="C81:D81"/>
    <mergeCell ref="E81:F81"/>
    <mergeCell ref="G81:H81"/>
    <mergeCell ref="I81:J81"/>
    <mergeCell ref="K81:L81"/>
    <mergeCell ref="M81:N81"/>
    <mergeCell ref="C82:D82"/>
    <mergeCell ref="E82:F82"/>
    <mergeCell ref="G82:H82"/>
    <mergeCell ref="I82:J82"/>
    <mergeCell ref="K82:L82"/>
    <mergeCell ref="M82:N82"/>
    <mergeCell ref="C83:D83"/>
    <mergeCell ref="E83:F83"/>
    <mergeCell ref="G83:H83"/>
    <mergeCell ref="I83:J83"/>
    <mergeCell ref="K83:L83"/>
    <mergeCell ref="M83:N83"/>
    <mergeCell ref="B84:N84"/>
    <mergeCell ref="B85:D85"/>
    <mergeCell ref="E85:F85"/>
    <mergeCell ref="G85:H85"/>
    <mergeCell ref="I85:J85"/>
    <mergeCell ref="K85:L85"/>
    <mergeCell ref="M85:N85"/>
    <mergeCell ref="B86:D86"/>
    <mergeCell ref="E86:F86"/>
    <mergeCell ref="G86:H86"/>
    <mergeCell ref="I86:J86"/>
    <mergeCell ref="K86:L86"/>
    <mergeCell ref="M86:N86"/>
    <mergeCell ref="B87:D87"/>
    <mergeCell ref="E87:F87"/>
    <mergeCell ref="G87:H87"/>
    <mergeCell ref="I87:J87"/>
    <mergeCell ref="K87:L87"/>
    <mergeCell ref="M87:N87"/>
    <mergeCell ref="B88:D88"/>
    <mergeCell ref="E88:F88"/>
    <mergeCell ref="G88:H88"/>
    <mergeCell ref="I88:J88"/>
    <mergeCell ref="K88:L88"/>
    <mergeCell ref="M88:N88"/>
    <mergeCell ref="B89:D89"/>
    <mergeCell ref="E89:F89"/>
    <mergeCell ref="G89:H89"/>
    <mergeCell ref="I89:J89"/>
    <mergeCell ref="K89:L89"/>
    <mergeCell ref="M89:N89"/>
    <mergeCell ref="B90:D90"/>
    <mergeCell ref="E90:F90"/>
    <mergeCell ref="G90:H90"/>
    <mergeCell ref="I90:J90"/>
    <mergeCell ref="K90:L90"/>
    <mergeCell ref="M90:N90"/>
    <mergeCell ref="C91:D91"/>
    <mergeCell ref="E91:F91"/>
    <mergeCell ref="G91:H91"/>
    <mergeCell ref="I91:J91"/>
    <mergeCell ref="K91:L91"/>
    <mergeCell ref="M91:N91"/>
    <mergeCell ref="C92:D92"/>
    <mergeCell ref="E92:F92"/>
    <mergeCell ref="G92:H92"/>
    <mergeCell ref="I92:J92"/>
    <mergeCell ref="K92:L92"/>
    <mergeCell ref="M92:N92"/>
    <mergeCell ref="C93:D93"/>
    <mergeCell ref="E93:F93"/>
    <mergeCell ref="G93:H93"/>
    <mergeCell ref="I93:J93"/>
    <mergeCell ref="K93:L93"/>
    <mergeCell ref="M93:N93"/>
    <mergeCell ref="C94:D94"/>
    <mergeCell ref="E94:F94"/>
    <mergeCell ref="G94:H94"/>
    <mergeCell ref="I94:J94"/>
    <mergeCell ref="K94:L94"/>
    <mergeCell ref="M94:N94"/>
    <mergeCell ref="C95:D95"/>
    <mergeCell ref="E95:F95"/>
    <mergeCell ref="G95:H95"/>
    <mergeCell ref="I95:J95"/>
    <mergeCell ref="K95:L95"/>
    <mergeCell ref="M95:N95"/>
    <mergeCell ref="C96:D96"/>
    <mergeCell ref="E96:F96"/>
    <mergeCell ref="G96:H96"/>
    <mergeCell ref="I96:J96"/>
    <mergeCell ref="K96:L96"/>
    <mergeCell ref="M96:N96"/>
    <mergeCell ref="C97:D97"/>
    <mergeCell ref="E97:F97"/>
    <mergeCell ref="G97:H97"/>
    <mergeCell ref="I97:J97"/>
    <mergeCell ref="K97:L97"/>
    <mergeCell ref="M97:N97"/>
    <mergeCell ref="C98:D98"/>
    <mergeCell ref="E98:F98"/>
    <mergeCell ref="G98:H98"/>
    <mergeCell ref="I98:J98"/>
    <mergeCell ref="K98:L98"/>
    <mergeCell ref="M98:N98"/>
    <mergeCell ref="C99:D99"/>
    <mergeCell ref="E99:F99"/>
    <mergeCell ref="G99:H99"/>
    <mergeCell ref="I99:J99"/>
    <mergeCell ref="K99:L99"/>
    <mergeCell ref="M99:N99"/>
    <mergeCell ref="C100:D100"/>
    <mergeCell ref="E100:F100"/>
    <mergeCell ref="G100:H100"/>
    <mergeCell ref="I100:J100"/>
    <mergeCell ref="K100:L100"/>
    <mergeCell ref="M100:N100"/>
    <mergeCell ref="C101:D101"/>
    <mergeCell ref="E101:F101"/>
    <mergeCell ref="G101:H101"/>
    <mergeCell ref="I101:J101"/>
    <mergeCell ref="K101:L101"/>
    <mergeCell ref="M101:N101"/>
    <mergeCell ref="C102:D102"/>
    <mergeCell ref="E102:F102"/>
    <mergeCell ref="G102:H102"/>
    <mergeCell ref="I102:J102"/>
    <mergeCell ref="K102:L102"/>
    <mergeCell ref="M102:N102"/>
    <mergeCell ref="C103:D103"/>
    <mergeCell ref="E103:F103"/>
    <mergeCell ref="G103:H103"/>
    <mergeCell ref="I103:J103"/>
    <mergeCell ref="K103:L103"/>
    <mergeCell ref="M103:N103"/>
    <mergeCell ref="C104:D104"/>
    <mergeCell ref="E104:F104"/>
    <mergeCell ref="G104:H104"/>
    <mergeCell ref="I104:J104"/>
    <mergeCell ref="K104:L104"/>
    <mergeCell ref="M104:N104"/>
    <mergeCell ref="C105:D105"/>
    <mergeCell ref="E105:F105"/>
    <mergeCell ref="G105:H105"/>
    <mergeCell ref="I105:J105"/>
    <mergeCell ref="K105:L105"/>
    <mergeCell ref="M105:N105"/>
    <mergeCell ref="C106:D106"/>
    <mergeCell ref="E106:F106"/>
    <mergeCell ref="G106:H106"/>
    <mergeCell ref="I106:J106"/>
    <mergeCell ref="K106:L106"/>
    <mergeCell ref="M106:N106"/>
    <mergeCell ref="B107:N107"/>
    <mergeCell ref="B108:D108"/>
    <mergeCell ref="E108:F108"/>
    <mergeCell ref="G108:H108"/>
    <mergeCell ref="I108:J108"/>
    <mergeCell ref="K108:L108"/>
    <mergeCell ref="M108:N108"/>
    <mergeCell ref="B109:D109"/>
    <mergeCell ref="E109:F109"/>
    <mergeCell ref="G109:H109"/>
    <mergeCell ref="I109:J109"/>
    <mergeCell ref="K109:L109"/>
    <mergeCell ref="M109:N109"/>
    <mergeCell ref="B110:D110"/>
    <mergeCell ref="E110:F110"/>
    <mergeCell ref="G110:H110"/>
    <mergeCell ref="I110:J110"/>
    <mergeCell ref="K110:L110"/>
    <mergeCell ref="M110:N110"/>
    <mergeCell ref="B111:D111"/>
    <mergeCell ref="E111:F111"/>
    <mergeCell ref="G111:H111"/>
    <mergeCell ref="I111:J111"/>
    <mergeCell ref="K111:L111"/>
    <mergeCell ref="M111:N111"/>
    <mergeCell ref="B112:D112"/>
    <mergeCell ref="E112:F112"/>
    <mergeCell ref="G112:H112"/>
    <mergeCell ref="I112:J112"/>
    <mergeCell ref="K112:L112"/>
    <mergeCell ref="M112:N112"/>
    <mergeCell ref="B113:D113"/>
    <mergeCell ref="E113:F113"/>
    <mergeCell ref="G113:H113"/>
    <mergeCell ref="I113:J113"/>
    <mergeCell ref="K113:L113"/>
    <mergeCell ref="M113:N113"/>
    <mergeCell ref="C114:D114"/>
    <mergeCell ref="E114:F114"/>
    <mergeCell ref="G114:H114"/>
    <mergeCell ref="I114:J114"/>
    <mergeCell ref="K114:L114"/>
    <mergeCell ref="M114:N114"/>
    <mergeCell ref="C115:D115"/>
    <mergeCell ref="E115:F115"/>
    <mergeCell ref="G115:H115"/>
    <mergeCell ref="I115:J115"/>
    <mergeCell ref="K115:L115"/>
    <mergeCell ref="M115:N115"/>
    <mergeCell ref="C116:D116"/>
    <mergeCell ref="E116:F116"/>
    <mergeCell ref="G116:H116"/>
    <mergeCell ref="I116:J116"/>
    <mergeCell ref="K116:L116"/>
    <mergeCell ref="M116:N116"/>
    <mergeCell ref="C117:D117"/>
    <mergeCell ref="E117:F117"/>
    <mergeCell ref="G117:H117"/>
    <mergeCell ref="I117:J117"/>
    <mergeCell ref="K117:L117"/>
    <mergeCell ref="M117:N117"/>
    <mergeCell ref="C118:D118"/>
    <mergeCell ref="E118:F118"/>
    <mergeCell ref="G118:H118"/>
    <mergeCell ref="I118:J118"/>
    <mergeCell ref="K118:L118"/>
    <mergeCell ref="M118:N118"/>
    <mergeCell ref="C119:D119"/>
    <mergeCell ref="E119:F119"/>
    <mergeCell ref="G119:H119"/>
    <mergeCell ref="I119:J119"/>
    <mergeCell ref="K119:L119"/>
    <mergeCell ref="M119:N119"/>
    <mergeCell ref="C120:D120"/>
    <mergeCell ref="E120:F120"/>
    <mergeCell ref="G120:H120"/>
    <mergeCell ref="I120:J120"/>
    <mergeCell ref="K120:L120"/>
    <mergeCell ref="M120:N120"/>
    <mergeCell ref="C121:D121"/>
    <mergeCell ref="E121:F121"/>
    <mergeCell ref="G121:H121"/>
    <mergeCell ref="I121:J121"/>
    <mergeCell ref="K121:L121"/>
    <mergeCell ref="M121:N121"/>
    <mergeCell ref="C122:D122"/>
    <mergeCell ref="E122:F122"/>
    <mergeCell ref="G122:H122"/>
    <mergeCell ref="I122:J122"/>
    <mergeCell ref="K122:L122"/>
    <mergeCell ref="M122:N122"/>
    <mergeCell ref="C123:D123"/>
    <mergeCell ref="E123:F123"/>
    <mergeCell ref="G123:H123"/>
    <mergeCell ref="I123:J123"/>
    <mergeCell ref="K123:L123"/>
    <mergeCell ref="M123:N123"/>
    <mergeCell ref="C124:D124"/>
    <mergeCell ref="E124:F124"/>
    <mergeCell ref="G124:H124"/>
    <mergeCell ref="I124:J124"/>
    <mergeCell ref="K124:L124"/>
    <mergeCell ref="M124:N124"/>
    <mergeCell ref="C125:D125"/>
    <mergeCell ref="E125:F125"/>
    <mergeCell ref="G125:H125"/>
    <mergeCell ref="I125:J125"/>
    <mergeCell ref="K125:L125"/>
    <mergeCell ref="M125:N125"/>
    <mergeCell ref="C126:D126"/>
    <mergeCell ref="E126:F126"/>
    <mergeCell ref="G126:H126"/>
    <mergeCell ref="I126:J126"/>
    <mergeCell ref="K126:L126"/>
    <mergeCell ref="M126:N126"/>
    <mergeCell ref="C127:D127"/>
    <mergeCell ref="E127:F127"/>
    <mergeCell ref="G127:H127"/>
    <mergeCell ref="I127:J127"/>
    <mergeCell ref="K127:L127"/>
    <mergeCell ref="M127:N127"/>
    <mergeCell ref="C128:D128"/>
    <mergeCell ref="E128:F128"/>
    <mergeCell ref="G128:H128"/>
    <mergeCell ref="I128:J128"/>
    <mergeCell ref="K128:L128"/>
    <mergeCell ref="M128:N128"/>
    <mergeCell ref="C129:D129"/>
    <mergeCell ref="E129:F129"/>
    <mergeCell ref="G129:H129"/>
    <mergeCell ref="I129:J129"/>
    <mergeCell ref="K129:L129"/>
    <mergeCell ref="M129:N129"/>
    <mergeCell ref="B130:N130"/>
    <mergeCell ref="B131:D131"/>
    <mergeCell ref="E131:F131"/>
    <mergeCell ref="G131:H131"/>
    <mergeCell ref="I131:J131"/>
    <mergeCell ref="K131:L131"/>
    <mergeCell ref="M131:N131"/>
    <mergeCell ref="B132:D132"/>
    <mergeCell ref="E132:F132"/>
    <mergeCell ref="G132:H132"/>
    <mergeCell ref="I132:J132"/>
    <mergeCell ref="K132:L132"/>
    <mergeCell ref="M132:N132"/>
    <mergeCell ref="B133:D133"/>
    <mergeCell ref="E133:F133"/>
    <mergeCell ref="G133:H133"/>
    <mergeCell ref="I133:J133"/>
    <mergeCell ref="K133:L133"/>
    <mergeCell ref="M133:N133"/>
    <mergeCell ref="B134:D134"/>
    <mergeCell ref="E134:F134"/>
    <mergeCell ref="G134:H134"/>
    <mergeCell ref="I134:J134"/>
    <mergeCell ref="K134:L134"/>
    <mergeCell ref="M134:N134"/>
    <mergeCell ref="B135:D135"/>
    <mergeCell ref="E135:F135"/>
    <mergeCell ref="G135:H135"/>
    <mergeCell ref="I135:J135"/>
    <mergeCell ref="K135:L135"/>
    <mergeCell ref="M135:N135"/>
    <mergeCell ref="B136:D136"/>
    <mergeCell ref="E136:F136"/>
    <mergeCell ref="G136:H136"/>
    <mergeCell ref="I136:J136"/>
    <mergeCell ref="K136:L136"/>
    <mergeCell ref="M136:N136"/>
    <mergeCell ref="C137:D137"/>
    <mergeCell ref="E137:F137"/>
    <mergeCell ref="G137:H137"/>
    <mergeCell ref="I137:J137"/>
    <mergeCell ref="K137:L137"/>
    <mergeCell ref="M137:N137"/>
    <mergeCell ref="C138:D138"/>
    <mergeCell ref="E138:F138"/>
    <mergeCell ref="G138:H138"/>
    <mergeCell ref="I138:J138"/>
    <mergeCell ref="K138:L138"/>
    <mergeCell ref="M138:N138"/>
    <mergeCell ref="C139:D139"/>
    <mergeCell ref="E139:F139"/>
    <mergeCell ref="G139:H139"/>
    <mergeCell ref="I139:J139"/>
    <mergeCell ref="K139:L139"/>
    <mergeCell ref="M139:N139"/>
    <mergeCell ref="C140:D140"/>
    <mergeCell ref="E140:F140"/>
    <mergeCell ref="G140:H140"/>
    <mergeCell ref="I140:J140"/>
    <mergeCell ref="K140:L140"/>
    <mergeCell ref="M140:N140"/>
    <mergeCell ref="C141:D141"/>
    <mergeCell ref="E141:F141"/>
    <mergeCell ref="G141:H141"/>
    <mergeCell ref="I141:J141"/>
    <mergeCell ref="K141:L141"/>
    <mergeCell ref="M141:N141"/>
    <mergeCell ref="C142:D142"/>
    <mergeCell ref="E142:F142"/>
    <mergeCell ref="G142:H142"/>
    <mergeCell ref="I142:J142"/>
    <mergeCell ref="K142:L142"/>
    <mergeCell ref="M142:N142"/>
    <mergeCell ref="C143:D143"/>
    <mergeCell ref="E143:F143"/>
    <mergeCell ref="G143:H143"/>
    <mergeCell ref="I143:J143"/>
    <mergeCell ref="K143:L143"/>
    <mergeCell ref="M143:N143"/>
    <mergeCell ref="C144:D144"/>
    <mergeCell ref="E144:F144"/>
    <mergeCell ref="G144:H144"/>
    <mergeCell ref="I144:J144"/>
    <mergeCell ref="K144:L144"/>
    <mergeCell ref="M144:N144"/>
    <mergeCell ref="C145:D145"/>
    <mergeCell ref="E145:F145"/>
    <mergeCell ref="G145:H145"/>
    <mergeCell ref="I145:J145"/>
    <mergeCell ref="K145:L145"/>
    <mergeCell ref="M145:N145"/>
    <mergeCell ref="C146:D146"/>
    <mergeCell ref="E146:F146"/>
    <mergeCell ref="G146:H146"/>
    <mergeCell ref="I146:J146"/>
    <mergeCell ref="K146:L146"/>
    <mergeCell ref="M146:N146"/>
    <mergeCell ref="C147:D147"/>
    <mergeCell ref="E147:F147"/>
    <mergeCell ref="G147:H147"/>
    <mergeCell ref="I147:J147"/>
    <mergeCell ref="K147:L147"/>
    <mergeCell ref="M147:N147"/>
    <mergeCell ref="C148:D148"/>
    <mergeCell ref="E148:F148"/>
    <mergeCell ref="G148:H148"/>
    <mergeCell ref="I148:J148"/>
    <mergeCell ref="K148:L148"/>
    <mergeCell ref="M148:N148"/>
    <mergeCell ref="C149:D149"/>
    <mergeCell ref="E149:F149"/>
    <mergeCell ref="G149:H149"/>
    <mergeCell ref="I149:J149"/>
    <mergeCell ref="K149:L149"/>
    <mergeCell ref="M149:N149"/>
    <mergeCell ref="C150:D150"/>
    <mergeCell ref="E150:F150"/>
    <mergeCell ref="G150:H150"/>
    <mergeCell ref="I150:J150"/>
    <mergeCell ref="K150:L150"/>
    <mergeCell ref="M150:N150"/>
    <mergeCell ref="C151:D151"/>
    <mergeCell ref="E151:F151"/>
    <mergeCell ref="G151:H151"/>
    <mergeCell ref="I151:J151"/>
    <mergeCell ref="K151:L151"/>
    <mergeCell ref="M151:N151"/>
    <mergeCell ref="C152:D152"/>
    <mergeCell ref="E152:F152"/>
    <mergeCell ref="G152:H152"/>
    <mergeCell ref="I152:J152"/>
    <mergeCell ref="K152:L152"/>
    <mergeCell ref="M152:N152"/>
    <mergeCell ref="B155:N155"/>
    <mergeCell ref="B156:N156"/>
    <mergeCell ref="B157:N157"/>
    <mergeCell ref="B158:L158"/>
    <mergeCell ref="B159:L159"/>
    <mergeCell ref="B160:D160"/>
    <mergeCell ref="E160:I160"/>
    <mergeCell ref="J160:M160"/>
    <mergeCell ref="B161:L161"/>
    <mergeCell ref="B162:D162"/>
    <mergeCell ref="E162:H162"/>
    <mergeCell ref="J162:M162"/>
    <mergeCell ref="A73:A76"/>
    <mergeCell ref="A96:A99"/>
    <mergeCell ref="A119:A122"/>
    <mergeCell ref="A142:A145"/>
    <mergeCell ref="B68:B77"/>
    <mergeCell ref="B78:B81"/>
    <mergeCell ref="B91:B100"/>
    <mergeCell ref="B101:B104"/>
    <mergeCell ref="B114:B123"/>
    <mergeCell ref="B124:B127"/>
    <mergeCell ref="B137:B146"/>
    <mergeCell ref="B147:B150"/>
    <mergeCell ref="N14:N16"/>
    <mergeCell ref="B1:N2"/>
    <mergeCell ref="L14:M16"/>
    <mergeCell ref="B14:E16"/>
    <mergeCell ref="B153:N154"/>
  </mergeCells>
  <conditionalFormatting sqref="F12">
    <cfRule type="cellIs" dxfId="0" priority="142" operator="equal">
      <formula>"Repack"</formula>
    </cfRule>
    <cfRule type="cellIs" dxfId="1" priority="143" operator="equal">
      <formula>"Pending"</formula>
    </cfRule>
    <cfRule type="cellIs" dxfId="2" priority="144" operator="equal">
      <formula>"Failed"</formula>
    </cfRule>
    <cfRule type="cellIs" dxfId="3" priority="145" operator="equal">
      <formula>"Passed"</formula>
    </cfRule>
  </conditionalFormatting>
  <conditionalFormatting sqref="E81:F81">
    <cfRule type="expression" dxfId="4" priority="109">
      <formula>IF($E$63=1,"Fail""0")</formula>
    </cfRule>
  </conditionalFormatting>
  <conditionalFormatting sqref="G82">
    <cfRule type="cellIs" dxfId="0" priority="64" operator="equal">
      <formula>"Repack"</formula>
    </cfRule>
    <cfRule type="cellIs" dxfId="1" priority="68" operator="equal">
      <formula>"Pending"</formula>
    </cfRule>
    <cfRule type="cellIs" dxfId="2" priority="72" operator="equal">
      <formula>"Failed"</formula>
    </cfRule>
    <cfRule type="cellIs" dxfId="3" priority="76" operator="equal">
      <formula>"Passed"</formula>
    </cfRule>
  </conditionalFormatting>
  <conditionalFormatting sqref="I82">
    <cfRule type="cellIs" dxfId="0" priority="63" operator="equal">
      <formula>"Repack"</formula>
    </cfRule>
    <cfRule type="cellIs" dxfId="1" priority="67" operator="equal">
      <formula>"Pending"</formula>
    </cfRule>
    <cfRule type="cellIs" dxfId="2" priority="71" operator="equal">
      <formula>"Failed"</formula>
    </cfRule>
    <cfRule type="cellIs" dxfId="3" priority="75" operator="equal">
      <formula>"Passed"</formula>
    </cfRule>
  </conditionalFormatting>
  <conditionalFormatting sqref="K82">
    <cfRule type="cellIs" dxfId="0" priority="62" operator="equal">
      <formula>"Repack"</formula>
    </cfRule>
    <cfRule type="cellIs" dxfId="1" priority="66" operator="equal">
      <formula>"Pending"</formula>
    </cfRule>
    <cfRule type="cellIs" dxfId="2" priority="70" operator="equal">
      <formula>"Failed"</formula>
    </cfRule>
    <cfRule type="cellIs" dxfId="3" priority="74" operator="equal">
      <formula>"Passed"</formula>
    </cfRule>
  </conditionalFormatting>
  <conditionalFormatting sqref="M82">
    <cfRule type="cellIs" dxfId="0" priority="61" operator="equal">
      <formula>"Repack"</formula>
    </cfRule>
    <cfRule type="cellIs" dxfId="1" priority="65" operator="equal">
      <formula>"Pending"</formula>
    </cfRule>
    <cfRule type="cellIs" dxfId="2" priority="69" operator="equal">
      <formula>"Failed"</formula>
    </cfRule>
    <cfRule type="cellIs" dxfId="3" priority="73" operator="equal">
      <formula>"Passed"</formula>
    </cfRule>
  </conditionalFormatting>
  <conditionalFormatting sqref="E105">
    <cfRule type="cellIs" dxfId="0" priority="57" operator="equal">
      <formula>"Repack"</formula>
    </cfRule>
    <cfRule type="cellIs" dxfId="1" priority="58" operator="equal">
      <formula>"Pending"</formula>
    </cfRule>
    <cfRule type="cellIs" dxfId="2" priority="59" operator="equal">
      <formula>"Failed"</formula>
    </cfRule>
    <cfRule type="cellIs" dxfId="3" priority="60" operator="equal">
      <formula>"Passed"</formula>
    </cfRule>
  </conditionalFormatting>
  <conditionalFormatting sqref="G105">
    <cfRule type="cellIs" dxfId="0" priority="44" operator="equal">
      <formula>"Repack"</formula>
    </cfRule>
    <cfRule type="cellIs" dxfId="1" priority="48" operator="equal">
      <formula>"Pending"</formula>
    </cfRule>
    <cfRule type="cellIs" dxfId="2" priority="52" operator="equal">
      <formula>"Failed"</formula>
    </cfRule>
    <cfRule type="cellIs" dxfId="3" priority="56" operator="equal">
      <formula>"Passed"</formula>
    </cfRule>
  </conditionalFormatting>
  <conditionalFormatting sqref="I105">
    <cfRule type="cellIs" dxfId="0" priority="43" operator="equal">
      <formula>"Repack"</formula>
    </cfRule>
    <cfRule type="cellIs" dxfId="1" priority="47" operator="equal">
      <formula>"Pending"</formula>
    </cfRule>
    <cfRule type="cellIs" dxfId="2" priority="51" operator="equal">
      <formula>"Failed"</formula>
    </cfRule>
    <cfRule type="cellIs" dxfId="3" priority="55" operator="equal">
      <formula>"Passed"</formula>
    </cfRule>
  </conditionalFormatting>
  <conditionalFormatting sqref="K105">
    <cfRule type="cellIs" dxfId="0" priority="42" operator="equal">
      <formula>"Repack"</formula>
    </cfRule>
    <cfRule type="cellIs" dxfId="1" priority="46" operator="equal">
      <formula>"Pending"</formula>
    </cfRule>
    <cfRule type="cellIs" dxfId="2" priority="50" operator="equal">
      <formula>"Failed"</formula>
    </cfRule>
    <cfRule type="cellIs" dxfId="3" priority="54" operator="equal">
      <formula>"Passed"</formula>
    </cfRule>
  </conditionalFormatting>
  <conditionalFormatting sqref="M105">
    <cfRule type="cellIs" dxfId="0" priority="41" operator="equal">
      <formula>"Repack"</formula>
    </cfRule>
    <cfRule type="cellIs" dxfId="1" priority="45" operator="equal">
      <formula>"Pending"</formula>
    </cfRule>
    <cfRule type="cellIs" dxfId="2" priority="49" operator="equal">
      <formula>"Failed"</formula>
    </cfRule>
    <cfRule type="cellIs" dxfId="3" priority="53" operator="equal">
      <formula>"Passed"</formula>
    </cfRule>
  </conditionalFormatting>
  <conditionalFormatting sqref="E128">
    <cfRule type="cellIs" dxfId="0" priority="37" operator="equal">
      <formula>"Repack"</formula>
    </cfRule>
    <cfRule type="cellIs" dxfId="1" priority="38" operator="equal">
      <formula>"Pending"</formula>
    </cfRule>
    <cfRule type="cellIs" dxfId="2" priority="39" operator="equal">
      <formula>"Failed"</formula>
    </cfRule>
    <cfRule type="cellIs" dxfId="3" priority="40" operator="equal">
      <formula>"Passed"</formula>
    </cfRule>
  </conditionalFormatting>
  <conditionalFormatting sqref="G128">
    <cfRule type="cellIs" dxfId="0" priority="24" operator="equal">
      <formula>"Repack"</formula>
    </cfRule>
    <cfRule type="cellIs" dxfId="1" priority="28" operator="equal">
      <formula>"Pending"</formula>
    </cfRule>
    <cfRule type="cellIs" dxfId="2" priority="32" operator="equal">
      <formula>"Failed"</formula>
    </cfRule>
    <cfRule type="cellIs" dxfId="3" priority="36" operator="equal">
      <formula>"Passed"</formula>
    </cfRule>
  </conditionalFormatting>
  <conditionalFormatting sqref="I128">
    <cfRule type="cellIs" dxfId="0" priority="23" operator="equal">
      <formula>"Repack"</formula>
    </cfRule>
    <cfRule type="cellIs" dxfId="1" priority="27" operator="equal">
      <formula>"Pending"</formula>
    </cfRule>
    <cfRule type="cellIs" dxfId="2" priority="31" operator="equal">
      <formula>"Failed"</formula>
    </cfRule>
    <cfRule type="cellIs" dxfId="3" priority="35" operator="equal">
      <formula>"Passed"</formula>
    </cfRule>
  </conditionalFormatting>
  <conditionalFormatting sqref="K128">
    <cfRule type="cellIs" dxfId="0" priority="22" operator="equal">
      <formula>"Repack"</formula>
    </cfRule>
    <cfRule type="cellIs" dxfId="1" priority="26" operator="equal">
      <formula>"Pending"</formula>
    </cfRule>
    <cfRule type="cellIs" dxfId="2" priority="30" operator="equal">
      <formula>"Failed"</formula>
    </cfRule>
    <cfRule type="cellIs" dxfId="3" priority="34" operator="equal">
      <formula>"Passed"</formula>
    </cfRule>
  </conditionalFormatting>
  <conditionalFormatting sqref="M128">
    <cfRule type="cellIs" dxfId="0" priority="21" operator="equal">
      <formula>"Repack"</formula>
    </cfRule>
    <cfRule type="cellIs" dxfId="1" priority="25" operator="equal">
      <formula>"Pending"</formula>
    </cfRule>
    <cfRule type="cellIs" dxfId="2" priority="29" operator="equal">
      <formula>"Failed"</formula>
    </cfRule>
    <cfRule type="cellIs" dxfId="3" priority="33" operator="equal">
      <formula>"Passed"</formula>
    </cfRule>
  </conditionalFormatting>
  <conditionalFormatting sqref="E151">
    <cfRule type="cellIs" dxfId="0" priority="17" operator="equal">
      <formula>"Repack"</formula>
    </cfRule>
    <cfRule type="cellIs" dxfId="1" priority="18" operator="equal">
      <formula>"Pending"</formula>
    </cfRule>
    <cfRule type="cellIs" dxfId="2" priority="19" operator="equal">
      <formula>"Failed"</formula>
    </cfRule>
    <cfRule type="cellIs" dxfId="3" priority="20" operator="equal">
      <formula>"Passed"</formula>
    </cfRule>
  </conditionalFormatting>
  <conditionalFormatting sqref="G151">
    <cfRule type="cellIs" dxfId="0" priority="4" operator="equal">
      <formula>"Repack"</formula>
    </cfRule>
    <cfRule type="cellIs" dxfId="1" priority="8" operator="equal">
      <formula>"Pending"</formula>
    </cfRule>
    <cfRule type="cellIs" dxfId="2" priority="12" operator="equal">
      <formula>"Failed"</formula>
    </cfRule>
    <cfRule type="cellIs" dxfId="3" priority="16" operator="equal">
      <formula>"Passed"</formula>
    </cfRule>
  </conditionalFormatting>
  <conditionalFormatting sqref="I151">
    <cfRule type="cellIs" dxfId="0" priority="3" operator="equal">
      <formula>"Repack"</formula>
    </cfRule>
    <cfRule type="cellIs" dxfId="1" priority="7" operator="equal">
      <formula>"Pending"</formula>
    </cfRule>
    <cfRule type="cellIs" dxfId="2" priority="11" operator="equal">
      <formula>"Failed"</formula>
    </cfRule>
    <cfRule type="cellIs" dxfId="3" priority="15" operator="equal">
      <formula>"Passed"</formula>
    </cfRule>
  </conditionalFormatting>
  <conditionalFormatting sqref="K151">
    <cfRule type="cellIs" dxfId="0" priority="2" operator="equal">
      <formula>"Repack"</formula>
    </cfRule>
    <cfRule type="cellIs" dxfId="1" priority="6" operator="equal">
      <formula>"Pending"</formula>
    </cfRule>
    <cfRule type="cellIs" dxfId="2" priority="10" operator="equal">
      <formula>"Failed"</formula>
    </cfRule>
    <cfRule type="cellIs" dxfId="3" priority="14" operator="equal">
      <formula>"Passed"</formula>
    </cfRule>
  </conditionalFormatting>
  <conditionalFormatting sqref="M151">
    <cfRule type="cellIs" dxfId="0" priority="1" operator="equal">
      <formula>"Repack"</formula>
    </cfRule>
    <cfRule type="cellIs" dxfId="1" priority="5" operator="equal">
      <formula>"Pending"</formula>
    </cfRule>
    <cfRule type="cellIs" dxfId="2" priority="9" operator="equal">
      <formula>"Failed"</formula>
    </cfRule>
    <cfRule type="cellIs" dxfId="3" priority="13" operator="equal">
      <formula>"Passed"</formula>
    </cfRule>
  </conditionalFormatting>
  <conditionalFormatting sqref="E81:N81 E82 E104:N104 E127:N127 E150:N150">
    <cfRule type="cellIs" dxfId="0" priority="138" operator="equal">
      <formula>"Repack"</formula>
    </cfRule>
    <cfRule type="cellIs" dxfId="1" priority="139" operator="equal">
      <formula>"Pending"</formula>
    </cfRule>
    <cfRule type="cellIs" dxfId="2" priority="140" operator="equal">
      <formula>"Failed"</formula>
    </cfRule>
    <cfRule type="cellIs" dxfId="3" priority="141" operator="equal">
      <formula>"Passed"</formula>
    </cfRule>
  </conditionalFormatting>
  <dataValidations count="23">
    <dataValidation type="list" allowBlank="1" showInputMessage="1" showErrorMessage="1" sqref="D5">
      <formula1>"Factory QC,Warehouse QC"</formula1>
    </dataValidation>
    <dataValidation type="list" allowBlank="1" showInputMessage="1" showErrorMessage="1" sqref="J5:N5">
      <formula1>"Tommy,May,Terry,Jack,Yingcai Fu,Kent,Reles,Paul,Baker,Alen,Julian,Leo,Eddie,Devin,Jimmy,James,Andrew,Jeffery,Bruce,Jerry"</formula1>
    </dataValidation>
    <dataValidation type="textLength" operator="greaterThan" showInputMessage="1" showErrorMessage="1" error="请输入工厂名称" sqref="D6:F6">
      <formula1>1</formula1>
    </dataValidation>
    <dataValidation type="list" allowBlank="1" showInputMessage="1" showErrorMessage="1" sqref="J6:N6">
      <formula1>"Factory,Trading Company,YW Store Factory,YW Store Agent,Unable to define type(whqc)"</formula1>
    </dataValidation>
    <dataValidation type="textLength" operator="greaterThan" showInputMessage="1" showErrorMessage="1" error="请输入工厂地址" sqref="D7:F7">
      <formula1>1</formula1>
    </dataValidation>
    <dataValidation type="date" operator="between" showInputMessage="1" showErrorMessage="1" errorTitle="错误" error="仅限输入”日期“" sqref="J7:N7">
      <formula1>43466</formula1>
      <formula2>72686</formula2>
    </dataValidation>
    <dataValidation type="textLength" operator="greaterThan" showInputMessage="1" showErrorMessage="1" error="请输入产品描述" sqref="J8:N8">
      <formula1>1</formula1>
    </dataValidation>
    <dataValidation allowBlank="1" showInputMessage="1" showErrorMessage="1" errorTitle="错误" error="    仅限输入字（0-10000）" sqref="D9:F9"/>
    <dataValidation type="whole" operator="between" allowBlank="1" showInputMessage="1" showErrorMessage="1" errorTitle="错误" error="    仅限输入字（0-10000）" sqref="J9:N9">
      <formula1>0</formula1>
      <formula2>10000</formula2>
    </dataValidation>
    <dataValidation allowBlank="1" showInputMessage="1" showErrorMessage="1" sqref="D10:F10" errorStyle="information"/>
    <dataValidation type="textLength" operator="greaterThan" showInputMessage="1" showErrorMessage="1" error="请输入正确跟单名字" sqref="J10:N10">
      <formula1>1</formula1>
    </dataValidation>
    <dataValidation type="list" allowBlank="1" showInputMessage="1" showErrorMessage="1" sqref="D11:F11">
      <formula1>"Correct(拼写正确）,Wrong(拼写有误）,N/A"</formula1>
    </dataValidation>
    <dataValidation type="list" allowBlank="1" showInputMessage="1" showErrorMessage="1" sqref="J11:N11">
      <formula1>"Inner pack&amp;Master carton tested,Inner pack tested,Master carton tested,Untested"</formula1>
    </dataValidation>
    <dataValidation type="list" allowBlank="1" showInputMessage="1" showErrorMessage="1" sqref="F12:N12">
      <formula1>"Passed,Pending,Repack,Failed"</formula1>
    </dataValidation>
    <dataValidation type="decimal" operator="between" showInputMessage="1" showErrorMessage="1" errorTitle="错误" error="    仅限输入字（0.01-100.00）" sqref="L59">
      <formula1>0</formula1>
      <formula2>1000</formula2>
    </dataValidation>
    <dataValidation type="decimal" operator="between" allowBlank="1" showInputMessage="1" showErrorMessage="1" errorTitle="错误" error="    仅限输入字（0.01-100.00）" sqref="M59:N59">
      <formula1>0.01</formula1>
      <formula2>100</formula2>
    </dataValidation>
    <dataValidation type="list" allowBlank="1" showInputMessage="1" showErrorMessage="1" sqref="E81:N81 E104:N104 E127:N127 E150:N150">
      <formula1>"Passed,Failed,Pending,Repack"</formula1>
    </dataValidation>
    <dataValidation type="list" allowBlank="1" showInputMessage="1" showErrorMessage="1" sqref="E82:N82 E105:N105 E128:N128 E151:N151">
      <formula1>"Safety,Function,Part short,Mislabel,Design,Listing,Quantity short,Appearance,Package,Mix-pack,Product/Package unfinished,Uncertain"</formula1>
    </dataValidation>
    <dataValidation type="list" allowBlank="1" showInputMessage="1" showErrorMessage="1" sqref="B162:D162">
      <formula1>"Terry,Tommy,May,Jack,Reles,Ailsa,Mars,Jing,Yincai Fu,Kent,Ford,Tom"</formula1>
    </dataValidation>
    <dataValidation type="decimal" operator="greaterThanOrEqual" allowBlank="1" showInputMessage="1" showErrorMessage="1" errorTitle="错误" error="仅限输入数字" sqref="F39:K58">
      <formula1>0</formula1>
    </dataValidation>
    <dataValidation type="whole" operator="greaterThanOrEqual" allowBlank="1" showInputMessage="1" showErrorMessage="1" errorTitle="错误" error="仅限输入整数" sqref="E63:N80 E86:N103 E109:N126 E132:N149">
      <formula1>0</formula1>
    </dataValidation>
    <dataValidation type="decimal" operator="greaterThanOrEqual" allowBlank="1" showInputMessage="1" showErrorMessage="1" errorTitle="警告" error="仅限输入数字" sqref="F17:N36">
      <formula1>0</formula1>
    </dataValidation>
    <dataValidation type="decimal" operator="greaterThan" allowBlank="1" showInputMessage="1" showErrorMessage="1" errorTitle="错误" error="    仅限输入字（0.01-100.00）" sqref="L39:N58">
      <formula1>0.0001</formula1>
    </dataValidation>
  </dataValidations>
  <printOptions horizontalCentered="1"/>
  <pageMargins left="0.196527777777778" right="0.196527777777778" top="0.826388888888889" bottom="0.707638888888889" header="0.15625" footer="0.313888888888889"/>
  <pageSetup paperSize="9" scale="65" fitToHeight="3" orientation="portrait"/>
  <headerFooter>
    <oddHeader>&amp;R&amp;"-,Italic"Document #: ________________
Document Ver: ______________
Release Date: ________________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topLeftCell="I1" workbookViewId="0">
      <selection activeCell="V15" sqref="V15"/>
    </sheetView>
  </sheetViews>
  <sheetFormatPr defaultColWidth="5.55752212389381" defaultRowHeight="13.85"/>
  <cols>
    <col min="1" max="1" width="7.33628318584071" style="16" hidden="1" customWidth="1"/>
    <col min="2" max="2" width="11.7787610619469" style="16" hidden="1" customWidth="1"/>
    <col min="3" max="7" width="5.55752212389381" style="17" hidden="1" customWidth="1"/>
    <col min="8" max="8" width="2.10619469026549" style="17" hidden="1" customWidth="1"/>
    <col min="9" max="9" width="14.6637168141593" style="17" customWidth="1"/>
    <col min="10" max="10" width="8.55752212389381" style="17" customWidth="1"/>
    <col min="11" max="11" width="8.7787610619469" style="17" customWidth="1"/>
    <col min="12" max="12" width="8.10619469026549" style="17" customWidth="1"/>
    <col min="13" max="13" width="9.55752212389381" style="17" customWidth="1"/>
    <col min="14" max="14" width="5.55752212389381" style="17" customWidth="1"/>
    <col min="15" max="16384" width="5.55752212389381" style="17"/>
  </cols>
  <sheetData>
    <row r="1" ht="25.95" customHeight="1" spans="1:13">
      <c r="A1" s="18" t="s">
        <v>74</v>
      </c>
      <c r="B1" s="18"/>
      <c r="C1" s="18"/>
      <c r="D1" s="18"/>
      <c r="E1" s="18"/>
      <c r="F1" s="18"/>
      <c r="I1" s="19" t="s">
        <v>75</v>
      </c>
      <c r="J1" s="19"/>
      <c r="K1" s="19"/>
      <c r="L1" s="19"/>
      <c r="M1" s="19"/>
    </row>
    <row r="2" ht="13.95" customHeight="1" spans="1:13">
      <c r="A2" s="18"/>
      <c r="B2" s="18" t="s">
        <v>76</v>
      </c>
      <c r="C2" s="20" t="s">
        <v>77</v>
      </c>
      <c r="D2" s="20" t="s">
        <v>57</v>
      </c>
      <c r="E2" s="20" t="s">
        <v>58</v>
      </c>
      <c r="F2" s="20" t="s">
        <v>59</v>
      </c>
      <c r="I2" s="21" t="s">
        <v>76</v>
      </c>
      <c r="J2" s="21" t="s">
        <v>77</v>
      </c>
      <c r="K2" s="21" t="s">
        <v>57</v>
      </c>
      <c r="L2" s="21" t="s">
        <v>58</v>
      </c>
      <c r="M2" s="21" t="s">
        <v>59</v>
      </c>
    </row>
    <row r="3" ht="13.95" customHeight="1" spans="1:13">
      <c r="A3" s="18">
        <v>2</v>
      </c>
      <c r="B3" s="215" t="s">
        <v>78</v>
      </c>
      <c r="C3" s="21">
        <v>2</v>
      </c>
      <c r="D3" s="22">
        <v>0</v>
      </c>
      <c r="E3" s="22">
        <v>0</v>
      </c>
      <c r="F3" s="22">
        <v>0</v>
      </c>
      <c r="I3" s="215" t="s">
        <v>79</v>
      </c>
      <c r="J3" s="21">
        <v>2</v>
      </c>
      <c r="K3" s="22">
        <v>0</v>
      </c>
      <c r="L3" s="22">
        <v>0</v>
      </c>
      <c r="M3" s="22">
        <v>0</v>
      </c>
    </row>
    <row r="4" ht="13.95" customHeight="1" spans="1:13">
      <c r="A4" s="18">
        <v>9</v>
      </c>
      <c r="B4" s="215" t="s">
        <v>80</v>
      </c>
      <c r="C4" s="21">
        <v>3</v>
      </c>
      <c r="D4" s="22">
        <v>0</v>
      </c>
      <c r="E4" s="22">
        <v>0</v>
      </c>
      <c r="F4" s="22">
        <v>0</v>
      </c>
      <c r="I4" s="215" t="s">
        <v>81</v>
      </c>
      <c r="J4" s="21">
        <v>3</v>
      </c>
      <c r="K4" s="22">
        <v>0</v>
      </c>
      <c r="L4" s="22">
        <v>0</v>
      </c>
      <c r="M4" s="22">
        <v>0</v>
      </c>
    </row>
    <row r="5" ht="13.95" customHeight="1" spans="1:13">
      <c r="A5" s="18">
        <v>16</v>
      </c>
      <c r="B5" s="215" t="s">
        <v>82</v>
      </c>
      <c r="C5" s="21">
        <v>5</v>
      </c>
      <c r="D5" s="22">
        <v>0</v>
      </c>
      <c r="E5" s="22">
        <v>0</v>
      </c>
      <c r="F5" s="22">
        <v>0</v>
      </c>
      <c r="I5" s="215" t="s">
        <v>83</v>
      </c>
      <c r="J5" s="21">
        <v>5</v>
      </c>
      <c r="K5" s="22">
        <v>0</v>
      </c>
      <c r="L5" s="22">
        <v>0</v>
      </c>
      <c r="M5" s="22">
        <v>0</v>
      </c>
    </row>
    <row r="6" ht="13.95" customHeight="1" spans="1:13">
      <c r="A6" s="18">
        <v>27</v>
      </c>
      <c r="B6" s="215" t="s">
        <v>84</v>
      </c>
      <c r="C6" s="21">
        <v>8</v>
      </c>
      <c r="D6" s="22">
        <v>0</v>
      </c>
      <c r="E6" s="22">
        <v>0</v>
      </c>
      <c r="F6" s="22">
        <v>0</v>
      </c>
      <c r="I6" s="215" t="s">
        <v>85</v>
      </c>
      <c r="J6" s="21">
        <v>8</v>
      </c>
      <c r="K6" s="22">
        <v>0</v>
      </c>
      <c r="L6" s="22">
        <v>0</v>
      </c>
      <c r="M6" s="22">
        <v>0</v>
      </c>
    </row>
    <row r="7" ht="13.95" customHeight="1" spans="1:13">
      <c r="A7" s="18">
        <v>51</v>
      </c>
      <c r="B7" s="215" t="s">
        <v>86</v>
      </c>
      <c r="C7" s="21">
        <v>13</v>
      </c>
      <c r="D7" s="22">
        <v>0</v>
      </c>
      <c r="E7" s="22">
        <v>0</v>
      </c>
      <c r="F7" s="22">
        <v>1</v>
      </c>
      <c r="I7" s="215" t="s">
        <v>87</v>
      </c>
      <c r="J7" s="21">
        <v>13</v>
      </c>
      <c r="K7" s="22">
        <v>0</v>
      </c>
      <c r="L7" s="22">
        <v>0</v>
      </c>
      <c r="M7" s="22">
        <v>1</v>
      </c>
    </row>
    <row r="8" ht="13.95" customHeight="1" spans="1:13">
      <c r="A8" s="23">
        <v>91</v>
      </c>
      <c r="B8" s="216" t="s">
        <v>88</v>
      </c>
      <c r="C8" s="23">
        <v>20</v>
      </c>
      <c r="D8" s="22">
        <v>0</v>
      </c>
      <c r="E8" s="22">
        <v>0</v>
      </c>
      <c r="F8" s="22">
        <v>2</v>
      </c>
      <c r="H8" s="24"/>
      <c r="I8" s="215" t="s">
        <v>89</v>
      </c>
      <c r="J8" s="22">
        <v>20</v>
      </c>
      <c r="K8" s="22">
        <v>0</v>
      </c>
      <c r="L8" s="22">
        <v>0</v>
      </c>
      <c r="M8" s="22">
        <v>2</v>
      </c>
    </row>
    <row r="9" ht="13.95" customHeight="1" spans="1:13">
      <c r="A9" s="23">
        <v>151</v>
      </c>
      <c r="B9" s="216" t="s">
        <v>90</v>
      </c>
      <c r="C9" s="23">
        <v>32</v>
      </c>
      <c r="D9" s="22">
        <v>0</v>
      </c>
      <c r="E9" s="22">
        <v>1</v>
      </c>
      <c r="F9" s="22">
        <v>3</v>
      </c>
      <c r="H9" s="24"/>
      <c r="I9" s="215" t="s">
        <v>91</v>
      </c>
      <c r="J9" s="22">
        <v>32</v>
      </c>
      <c r="K9" s="22">
        <v>0</v>
      </c>
      <c r="L9" s="22">
        <v>1</v>
      </c>
      <c r="M9" s="22">
        <v>3</v>
      </c>
    </row>
    <row r="10" ht="13.95" customHeight="1" spans="1:13">
      <c r="A10" s="23">
        <v>281</v>
      </c>
      <c r="B10" s="216" t="s">
        <v>92</v>
      </c>
      <c r="C10" s="23">
        <v>50</v>
      </c>
      <c r="D10" s="22">
        <v>0</v>
      </c>
      <c r="E10" s="22">
        <v>2</v>
      </c>
      <c r="F10" s="22">
        <v>5</v>
      </c>
      <c r="H10" s="24"/>
      <c r="I10" s="215" t="s">
        <v>93</v>
      </c>
      <c r="J10" s="22">
        <v>50</v>
      </c>
      <c r="K10" s="22">
        <v>0</v>
      </c>
      <c r="L10" s="22">
        <v>2</v>
      </c>
      <c r="M10" s="22">
        <v>5</v>
      </c>
    </row>
    <row r="11" ht="13.95" customHeight="1" spans="1:13">
      <c r="A11" s="23">
        <v>501</v>
      </c>
      <c r="B11" s="216" t="s">
        <v>94</v>
      </c>
      <c r="C11" s="23">
        <v>80</v>
      </c>
      <c r="D11" s="22">
        <v>0</v>
      </c>
      <c r="E11" s="22">
        <v>3</v>
      </c>
      <c r="F11" s="22">
        <v>7</v>
      </c>
      <c r="H11" s="24"/>
      <c r="I11" s="215" t="s">
        <v>95</v>
      </c>
      <c r="J11" s="22">
        <v>80</v>
      </c>
      <c r="K11" s="22">
        <v>0</v>
      </c>
      <c r="L11" s="22">
        <v>3</v>
      </c>
      <c r="M11" s="22">
        <v>7</v>
      </c>
    </row>
    <row r="12" ht="13.95" customHeight="1" spans="1:13">
      <c r="A12" s="23">
        <v>1201</v>
      </c>
      <c r="B12" s="216" t="s">
        <v>96</v>
      </c>
      <c r="C12" s="23">
        <v>125</v>
      </c>
      <c r="D12" s="22">
        <v>0</v>
      </c>
      <c r="E12" s="22">
        <v>5</v>
      </c>
      <c r="F12" s="22">
        <v>10</v>
      </c>
      <c r="H12" s="24"/>
      <c r="I12" s="215" t="s">
        <v>97</v>
      </c>
      <c r="J12" s="22">
        <v>125</v>
      </c>
      <c r="K12" s="22">
        <v>0</v>
      </c>
      <c r="L12" s="22">
        <v>5</v>
      </c>
      <c r="M12" s="22">
        <v>10</v>
      </c>
    </row>
    <row r="13" ht="13.95" customHeight="1" spans="1:13">
      <c r="A13" s="23">
        <v>3201</v>
      </c>
      <c r="B13" s="216" t="s">
        <v>98</v>
      </c>
      <c r="C13" s="23">
        <v>200</v>
      </c>
      <c r="D13" s="22">
        <v>0</v>
      </c>
      <c r="E13" s="22">
        <v>7</v>
      </c>
      <c r="F13" s="22">
        <v>14</v>
      </c>
      <c r="H13" s="24"/>
      <c r="I13" s="215" t="s">
        <v>99</v>
      </c>
      <c r="J13" s="22">
        <v>200</v>
      </c>
      <c r="K13" s="22">
        <v>0</v>
      </c>
      <c r="L13" s="22">
        <v>7</v>
      </c>
      <c r="M13" s="22">
        <v>14</v>
      </c>
    </row>
    <row r="14" ht="13.95" customHeight="1" spans="1:13">
      <c r="A14" s="23">
        <v>10001</v>
      </c>
      <c r="B14" s="216" t="s">
        <v>100</v>
      </c>
      <c r="C14" s="23">
        <v>315</v>
      </c>
      <c r="D14" s="22">
        <v>0</v>
      </c>
      <c r="E14" s="22">
        <v>10</v>
      </c>
      <c r="F14" s="22">
        <v>21</v>
      </c>
      <c r="H14" s="24"/>
      <c r="I14" s="215" t="s">
        <v>101</v>
      </c>
      <c r="J14" s="22">
        <v>315</v>
      </c>
      <c r="K14" s="22">
        <v>0</v>
      </c>
      <c r="L14" s="22">
        <v>10</v>
      </c>
      <c r="M14" s="22">
        <v>21</v>
      </c>
    </row>
    <row r="15" ht="13.9" spans="1:13">
      <c r="A15" s="23">
        <v>35001</v>
      </c>
      <c r="B15" s="216" t="s">
        <v>102</v>
      </c>
      <c r="C15" s="23">
        <v>500</v>
      </c>
      <c r="D15" s="22">
        <v>0</v>
      </c>
      <c r="E15" s="22">
        <v>14</v>
      </c>
      <c r="F15" s="22">
        <v>21</v>
      </c>
      <c r="H15" s="24"/>
      <c r="I15" s="215" t="s">
        <v>103</v>
      </c>
      <c r="J15" s="22">
        <v>500</v>
      </c>
      <c r="K15" s="22">
        <v>0</v>
      </c>
      <c r="L15" s="22">
        <v>14</v>
      </c>
      <c r="M15" s="22">
        <v>21</v>
      </c>
    </row>
    <row r="16" spans="1:13">
      <c r="A16" s="23">
        <v>150001</v>
      </c>
      <c r="B16" s="18"/>
      <c r="C16" s="20"/>
      <c r="D16" s="20"/>
      <c r="E16" s="23"/>
      <c r="F16" s="23"/>
      <c r="H16" s="24"/>
      <c r="L16" s="24"/>
      <c r="M16" s="24"/>
    </row>
  </sheetData>
  <sheetProtection password="EDA3" sheet="1" selectLockedCells="1" objects="1"/>
  <mergeCells count="2">
    <mergeCell ref="A1:F1"/>
    <mergeCell ref="I1:M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opLeftCell="A4" workbookViewId="0">
      <selection activeCell="C12" sqref="C12"/>
    </sheetView>
  </sheetViews>
  <sheetFormatPr defaultColWidth="8.66371681415929" defaultRowHeight="13.95" customHeight="1" outlineLevelCol="2"/>
  <cols>
    <col min="1" max="1" width="20.6637168141593" style="1" customWidth="1"/>
    <col min="2" max="2" width="45.7787610619469" style="2" customWidth="1"/>
    <col min="3" max="3" width="58.4424778761062" style="1" customWidth="1"/>
    <col min="4" max="16384" width="8.66371681415929" style="1"/>
  </cols>
  <sheetData>
    <row r="1" ht="30" customHeight="1" spans="1:3">
      <c r="A1" s="3" t="s">
        <v>104</v>
      </c>
      <c r="B1" s="4"/>
      <c r="C1" s="5"/>
    </row>
    <row r="2" customHeight="1" spans="1:3">
      <c r="A2" s="6" t="s">
        <v>105</v>
      </c>
      <c r="B2" s="7" t="s">
        <v>106</v>
      </c>
      <c r="C2" s="8" t="s">
        <v>107</v>
      </c>
    </row>
    <row r="3" customHeight="1" spans="1:3">
      <c r="A3" s="6"/>
      <c r="B3" s="7" t="s">
        <v>108</v>
      </c>
      <c r="C3" s="8" t="s">
        <v>109</v>
      </c>
    </row>
    <row r="4" customHeight="1" spans="1:3">
      <c r="A4" s="6"/>
      <c r="B4" s="7" t="s">
        <v>110</v>
      </c>
      <c r="C4" s="8" t="s">
        <v>111</v>
      </c>
    </row>
    <row r="5" customHeight="1" spans="1:3">
      <c r="A5" s="6"/>
      <c r="B5" s="7" t="s">
        <v>112</v>
      </c>
      <c r="C5" s="8" t="s">
        <v>113</v>
      </c>
    </row>
    <row r="6" customHeight="1" spans="1:3">
      <c r="A6" s="6"/>
      <c r="B6" s="7" t="s">
        <v>114</v>
      </c>
      <c r="C6" s="8" t="s">
        <v>115</v>
      </c>
    </row>
    <row r="7" customHeight="1" spans="1:3">
      <c r="A7" s="6"/>
      <c r="B7" s="7" t="s">
        <v>116</v>
      </c>
      <c r="C7" s="8" t="s">
        <v>117</v>
      </c>
    </row>
    <row r="8" customHeight="1" spans="1:3">
      <c r="A8" s="6"/>
      <c r="B8" s="7" t="s">
        <v>118</v>
      </c>
      <c r="C8" s="8" t="s">
        <v>119</v>
      </c>
    </row>
    <row r="9" customHeight="1" spans="1:3">
      <c r="A9" s="6"/>
      <c r="B9" s="7" t="s">
        <v>120</v>
      </c>
      <c r="C9" s="8" t="s">
        <v>121</v>
      </c>
    </row>
    <row r="10" customHeight="1" spans="1:3">
      <c r="A10" s="6"/>
      <c r="B10" s="7" t="s">
        <v>122</v>
      </c>
      <c r="C10" s="8" t="s">
        <v>123</v>
      </c>
    </row>
    <row r="11" customHeight="1" spans="1:3">
      <c r="A11" s="6"/>
      <c r="B11" s="7" t="s">
        <v>124</v>
      </c>
      <c r="C11" s="8" t="s">
        <v>125</v>
      </c>
    </row>
    <row r="12" customHeight="1" spans="1:3">
      <c r="A12" s="6" t="s">
        <v>126</v>
      </c>
      <c r="B12" s="9" t="s">
        <v>127</v>
      </c>
      <c r="C12" s="8" t="s">
        <v>128</v>
      </c>
    </row>
    <row r="13" customHeight="1" spans="1:3">
      <c r="A13" s="6"/>
      <c r="B13" s="10" t="s">
        <v>129</v>
      </c>
      <c r="C13" s="8" t="s">
        <v>130</v>
      </c>
    </row>
    <row r="14" customHeight="1" spans="1:3">
      <c r="A14" s="6"/>
      <c r="B14" s="10" t="s">
        <v>131</v>
      </c>
      <c r="C14" s="8" t="s">
        <v>111</v>
      </c>
    </row>
    <row r="15" customHeight="1" spans="1:3">
      <c r="A15" s="6"/>
      <c r="B15" s="10" t="s">
        <v>132</v>
      </c>
      <c r="C15" s="8" t="s">
        <v>133</v>
      </c>
    </row>
    <row r="16" customHeight="1" spans="1:3">
      <c r="A16" s="6"/>
      <c r="B16" s="10" t="s">
        <v>134</v>
      </c>
      <c r="C16" s="8" t="s">
        <v>135</v>
      </c>
    </row>
    <row r="17" customHeight="1" spans="1:3">
      <c r="A17" s="6"/>
      <c r="B17" s="10" t="s">
        <v>136</v>
      </c>
      <c r="C17" s="8" t="s">
        <v>137</v>
      </c>
    </row>
    <row r="18" customHeight="1" spans="1:3">
      <c r="A18" s="6"/>
      <c r="B18" s="10" t="s">
        <v>138</v>
      </c>
      <c r="C18" s="8" t="s">
        <v>139</v>
      </c>
    </row>
    <row r="19" customHeight="1" spans="1:3">
      <c r="A19" s="6"/>
      <c r="B19" s="10" t="s">
        <v>140</v>
      </c>
      <c r="C19" s="8" t="s">
        <v>141</v>
      </c>
    </row>
    <row r="20" customHeight="1" spans="1:3">
      <c r="A20" s="6"/>
      <c r="B20" s="10" t="s">
        <v>142</v>
      </c>
      <c r="C20" s="8" t="s">
        <v>143</v>
      </c>
    </row>
    <row r="21" customHeight="1" spans="1:3">
      <c r="A21" s="6"/>
      <c r="B21" s="7" t="s">
        <v>144</v>
      </c>
      <c r="C21" s="8" t="s">
        <v>145</v>
      </c>
    </row>
    <row r="22" customHeight="1" spans="1:3">
      <c r="A22" s="6"/>
      <c r="B22" s="7" t="s">
        <v>146</v>
      </c>
      <c r="C22" s="8" t="s">
        <v>147</v>
      </c>
    </row>
    <row r="23" customHeight="1" spans="1:3">
      <c r="A23" s="6"/>
      <c r="B23" s="7" t="s">
        <v>148</v>
      </c>
      <c r="C23" s="8" t="s">
        <v>149</v>
      </c>
    </row>
    <row r="24" customHeight="1" spans="1:3">
      <c r="A24" s="6"/>
      <c r="B24" s="7" t="s">
        <v>150</v>
      </c>
      <c r="C24" s="8" t="s">
        <v>151</v>
      </c>
    </row>
    <row r="25" customHeight="1" spans="1:3">
      <c r="A25" s="6" t="s">
        <v>152</v>
      </c>
      <c r="B25" s="7" t="s">
        <v>153</v>
      </c>
      <c r="C25" s="8" t="s">
        <v>154</v>
      </c>
    </row>
    <row r="26" customHeight="1" spans="1:3">
      <c r="A26" s="6"/>
      <c r="B26" s="7" t="s">
        <v>155</v>
      </c>
      <c r="C26" s="8" t="s">
        <v>156</v>
      </c>
    </row>
    <row r="27" customHeight="1" spans="1:3">
      <c r="A27" s="6"/>
      <c r="B27" s="10" t="s">
        <v>157</v>
      </c>
      <c r="C27" s="8" t="s">
        <v>158</v>
      </c>
    </row>
    <row r="28" customHeight="1" spans="1:3">
      <c r="A28" s="6"/>
      <c r="B28" s="7" t="s">
        <v>159</v>
      </c>
      <c r="C28" s="8" t="s">
        <v>160</v>
      </c>
    </row>
    <row r="29" customHeight="1" spans="1:3">
      <c r="A29" s="6"/>
      <c r="B29" s="10" t="s">
        <v>161</v>
      </c>
      <c r="C29" s="8" t="s">
        <v>162</v>
      </c>
    </row>
    <row r="30" customHeight="1" spans="1:3">
      <c r="A30" s="6"/>
      <c r="B30" s="10" t="s">
        <v>163</v>
      </c>
      <c r="C30" s="8" t="s">
        <v>164</v>
      </c>
    </row>
    <row r="31" customHeight="1" spans="1:3">
      <c r="A31" s="6" t="s">
        <v>165</v>
      </c>
      <c r="B31" s="10" t="s">
        <v>166</v>
      </c>
      <c r="C31" s="8" t="s">
        <v>167</v>
      </c>
    </row>
    <row r="32" customHeight="1" spans="1:3">
      <c r="A32" s="6"/>
      <c r="B32" s="10" t="s">
        <v>131</v>
      </c>
      <c r="C32" s="8" t="s">
        <v>168</v>
      </c>
    </row>
    <row r="33" customHeight="1" spans="1:3">
      <c r="A33" s="6"/>
      <c r="B33" s="7" t="s">
        <v>169</v>
      </c>
      <c r="C33" s="8" t="s">
        <v>170</v>
      </c>
    </row>
    <row r="34" customHeight="1" spans="1:3">
      <c r="A34" s="6"/>
      <c r="B34" s="10" t="s">
        <v>171</v>
      </c>
      <c r="C34" s="8" t="s">
        <v>172</v>
      </c>
    </row>
    <row r="35" customHeight="1" spans="1:3">
      <c r="A35" s="6"/>
      <c r="B35" s="10" t="s">
        <v>173</v>
      </c>
      <c r="C35" s="8" t="s">
        <v>174</v>
      </c>
    </row>
    <row r="36" customHeight="1" spans="1:3">
      <c r="A36" s="6"/>
      <c r="B36" s="10" t="s">
        <v>175</v>
      </c>
      <c r="C36" s="8" t="s">
        <v>176</v>
      </c>
    </row>
    <row r="37" customHeight="1" spans="1:3">
      <c r="A37" s="6"/>
      <c r="B37" s="10" t="s">
        <v>177</v>
      </c>
      <c r="C37" s="8" t="s">
        <v>178</v>
      </c>
    </row>
    <row r="38" customHeight="1" spans="1:3">
      <c r="A38" s="6"/>
      <c r="B38" s="7" t="s">
        <v>179</v>
      </c>
      <c r="C38" s="8" t="s">
        <v>180</v>
      </c>
    </row>
    <row r="39" customHeight="1" spans="1:3">
      <c r="A39" s="6"/>
      <c r="B39" s="10" t="s">
        <v>181</v>
      </c>
      <c r="C39" s="8" t="s">
        <v>182</v>
      </c>
    </row>
    <row r="40" customHeight="1" spans="1:3">
      <c r="A40" s="11" t="s">
        <v>183</v>
      </c>
      <c r="B40" s="10" t="s">
        <v>184</v>
      </c>
      <c r="C40" s="8" t="s">
        <v>185</v>
      </c>
    </row>
    <row r="41" customHeight="1" spans="1:3">
      <c r="A41" s="11"/>
      <c r="B41" s="10" t="s">
        <v>186</v>
      </c>
      <c r="C41" s="8" t="s">
        <v>187</v>
      </c>
    </row>
    <row r="42" customHeight="1" spans="1:3">
      <c r="A42" s="11"/>
      <c r="B42" s="10" t="s">
        <v>188</v>
      </c>
      <c r="C42" s="8" t="s">
        <v>189</v>
      </c>
    </row>
    <row r="43" customHeight="1" spans="1:3">
      <c r="A43" s="11"/>
      <c r="B43" s="10" t="s">
        <v>190</v>
      </c>
      <c r="C43" s="8" t="s">
        <v>191</v>
      </c>
    </row>
    <row r="44" customHeight="1" spans="1:3">
      <c r="A44" s="12" t="s">
        <v>192</v>
      </c>
      <c r="B44" s="10" t="s">
        <v>193</v>
      </c>
      <c r="C44" s="8" t="s">
        <v>194</v>
      </c>
    </row>
    <row r="45" customHeight="1" spans="1:3">
      <c r="A45" s="12"/>
      <c r="B45" s="10" t="s">
        <v>195</v>
      </c>
      <c r="C45" s="8" t="s">
        <v>196</v>
      </c>
    </row>
    <row r="46" customHeight="1" spans="1:3">
      <c r="A46" s="12"/>
      <c r="B46" s="10" t="s">
        <v>197</v>
      </c>
      <c r="C46" s="8" t="s">
        <v>198</v>
      </c>
    </row>
    <row r="47" customHeight="1" spans="1:3">
      <c r="A47" s="12"/>
      <c r="B47" s="10" t="s">
        <v>199</v>
      </c>
      <c r="C47" s="8" t="s">
        <v>200</v>
      </c>
    </row>
    <row r="48" customHeight="1" spans="1:3">
      <c r="A48" s="13"/>
      <c r="B48" s="14" t="s">
        <v>201</v>
      </c>
      <c r="C48" s="15" t="s">
        <v>202</v>
      </c>
    </row>
  </sheetData>
  <mergeCells count="7">
    <mergeCell ref="A1:C1"/>
    <mergeCell ref="A2:A11"/>
    <mergeCell ref="A12:A24"/>
    <mergeCell ref="A25:A30"/>
    <mergeCell ref="A31:A39"/>
    <mergeCell ref="A40:A43"/>
    <mergeCell ref="A44:A48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Report</vt:lpstr>
      <vt:lpstr>Option</vt:lpstr>
      <vt:lpstr>Defect-En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Gao</dc:creator>
  <cp:lastModifiedBy>福尔芋头丝</cp:lastModifiedBy>
  <dcterms:created xsi:type="dcterms:W3CDTF">2018-04-23T07:36:00Z</dcterms:created>
  <cp:lastPrinted>2018-09-10T01:58:00Z</cp:lastPrinted>
  <dcterms:modified xsi:type="dcterms:W3CDTF">2026-10-05T13:22:34Z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959BEC01291E4B589464E95B7B54AE25</vt:lpwstr>
  </property>
  <property fmtid="{D5CDD505-2E9C-101B-9397-08002B2CF9AE}" pid="4" name="CalculationRule">
    <vt:i4>0</vt:i4>
  </property>
</Properties>
</file>